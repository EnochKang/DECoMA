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ti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SMaRT\1. DECoMA\4 SR\R1\"/>
    </mc:Choice>
  </mc:AlternateContent>
  <xr:revisionPtr revIDLastSave="0" documentId="13_ncr:1_{D08E9207-6A14-4C01-9E59-B5A3A7F6AC85}" xr6:coauthVersionLast="47" xr6:coauthVersionMax="47" xr10:uidLastSave="{00000000-0000-0000-0000-000000000000}"/>
  <bookViews>
    <workbookView xWindow="-110" yWindow="-110" windowWidth="19420" windowHeight="11500" xr2:uid="{066A7938-245C-489C-A1DB-FC0AF7305CAB}"/>
  </bookViews>
  <sheets>
    <sheet name="Intro" sheetId="3" r:id="rId1"/>
    <sheet name="DECoMA" sheetId="1" state="hidden" r:id="rId2"/>
    <sheet name="Note" sheetId="4" state="hidden" r:id="rId3"/>
    <sheet name="Back-End" sheetId="6" state="hidden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140" i="4" l="1"/>
  <c r="AB141" i="4"/>
  <c r="AB234" i="4"/>
  <c r="AB238" i="4" s="1"/>
  <c r="AC219" i="4"/>
  <c r="AD219" i="4"/>
  <c r="AB219" i="4"/>
  <c r="AB112" i="4"/>
  <c r="AC112" i="4"/>
  <c r="AB114" i="4"/>
  <c r="AB121" i="4"/>
  <c r="AC121" i="4"/>
  <c r="AB123" i="4"/>
  <c r="AB130" i="4"/>
  <c r="AC130" i="4"/>
  <c r="AC140" i="4"/>
  <c r="AD140" i="4"/>
  <c r="AC141" i="4"/>
  <c r="AB142" i="4"/>
  <c r="AC142" i="4"/>
  <c r="AB148" i="4"/>
  <c r="AB158" i="4"/>
  <c r="AB168" i="4"/>
  <c r="AC168" i="4"/>
  <c r="AD168" i="4"/>
  <c r="AB169" i="4"/>
  <c r="AC169" i="4"/>
  <c r="AC170" i="4"/>
  <c r="AB178" i="4"/>
  <c r="AC178" i="4"/>
  <c r="AB180" i="4"/>
  <c r="AC180" i="4"/>
  <c r="AD180" i="4"/>
  <c r="AB186" i="4"/>
  <c r="AC186" i="4"/>
  <c r="AB188" i="4"/>
  <c r="AC188" i="4"/>
  <c r="AD188" i="4"/>
  <c r="AB194" i="4"/>
  <c r="AC194" i="4"/>
  <c r="AB196" i="4"/>
  <c r="AC196" i="4"/>
  <c r="AD196" i="4"/>
  <c r="AB202" i="4"/>
  <c r="AC202" i="4"/>
  <c r="AD202" i="4"/>
  <c r="AB204" i="4"/>
  <c r="AC204" i="4"/>
  <c r="AD204" i="4"/>
  <c r="AB210" i="4"/>
  <c r="AC210" i="4"/>
  <c r="AD210" i="4"/>
  <c r="AC212" i="4"/>
  <c r="AD212" i="4"/>
  <c r="AB230" i="4"/>
  <c r="AC230" i="4"/>
  <c r="J4" i="3"/>
  <c r="AC238" i="4" l="1"/>
  <c r="L42" i="6"/>
  <c r="K42" i="6"/>
  <c r="L41" i="6"/>
  <c r="K41" i="6"/>
  <c r="L31" i="6"/>
  <c r="K31" i="6"/>
  <c r="I20" i="6"/>
  <c r="I11" i="6"/>
  <c r="D4" i="3"/>
  <c r="M158" i="1"/>
  <c r="L158" i="1"/>
  <c r="M157" i="1"/>
  <c r="L157" i="1"/>
  <c r="M147" i="1"/>
  <c r="L147" i="1"/>
  <c r="J3" i="3"/>
  <c r="I88" i="1" l="1"/>
  <c r="C19" i="1"/>
  <c r="C107" i="1"/>
  <c r="D71" i="1"/>
  <c r="C71" i="1"/>
  <c r="D62" i="1"/>
  <c r="C62" i="1"/>
  <c r="C54" i="1"/>
  <c r="D54" i="1"/>
  <c r="D46" i="1"/>
  <c r="AD194" i="4" s="1"/>
  <c r="C46" i="1"/>
  <c r="D38" i="1"/>
  <c r="AD186" i="4" s="1"/>
  <c r="C38" i="1"/>
  <c r="D30" i="1"/>
  <c r="AD178" i="4" s="1"/>
  <c r="C30" i="1"/>
  <c r="C10" i="1"/>
  <c r="C98" i="1"/>
  <c r="C116" i="1"/>
  <c r="C125" i="1"/>
  <c r="C134" i="1"/>
  <c r="J135" i="1"/>
  <c r="J55" i="1" l="1"/>
  <c r="J63" i="1" l="1"/>
  <c r="J99" i="1"/>
  <c r="J126" i="1"/>
  <c r="J108" i="1"/>
  <c r="J47" i="1"/>
  <c r="J20" i="1"/>
  <c r="J31" i="1" l="1"/>
  <c r="J39" i="1"/>
  <c r="J117" i="1"/>
  <c r="J89" i="1"/>
</calcChain>
</file>

<file path=xl/sharedStrings.xml><?xml version="1.0" encoding="utf-8"?>
<sst xmlns="http://schemas.openxmlformats.org/spreadsheetml/2006/main" count="301" uniqueCount="148">
  <si>
    <t>SD</t>
    <phoneticPr fontId="1" type="noConversion"/>
  </si>
  <si>
    <t>SE</t>
    <phoneticPr fontId="1" type="noConversion"/>
  </si>
  <si>
    <t>n</t>
    <phoneticPr fontId="1" type="noConversion"/>
  </si>
  <si>
    <t>SD</t>
    <phoneticPr fontId="1" type="noConversion"/>
  </si>
  <si>
    <t>Correlation</t>
    <phoneticPr fontId="1" type="noConversion"/>
  </si>
  <si>
    <t>SE</t>
    <phoneticPr fontId="1" type="noConversion"/>
  </si>
  <si>
    <t>SD</t>
    <phoneticPr fontId="1" type="noConversion"/>
  </si>
  <si>
    <t>M</t>
    <phoneticPr fontId="1" type="noConversion"/>
  </si>
  <si>
    <t>n</t>
    <phoneticPr fontId="1" type="noConversion"/>
  </si>
  <si>
    <t>Input:</t>
    <phoneticPr fontId="1" type="noConversion"/>
  </si>
  <si>
    <t>Output:</t>
    <phoneticPr fontId="1" type="noConversion"/>
  </si>
  <si>
    <t>Mean</t>
    <phoneticPr fontId="1" type="noConversion"/>
  </si>
  <si>
    <t>Median</t>
    <phoneticPr fontId="1" type="noConversion"/>
  </si>
  <si>
    <t>SD (time 1)</t>
    <phoneticPr fontId="1" type="noConversion"/>
  </si>
  <si>
    <t>SD (time 2)</t>
    <phoneticPr fontId="1" type="noConversion"/>
  </si>
  <si>
    <t>SD (change)</t>
    <phoneticPr fontId="1" type="noConversion"/>
  </si>
  <si>
    <r>
      <t xml:space="preserve">Known SD in </t>
    </r>
    <r>
      <rPr>
        <sz val="12"/>
        <color rgb="FFFF0000"/>
        <rFont val="微軟正黑體"/>
        <family val="2"/>
        <charset val="136"/>
      </rPr>
      <t>the target study</t>
    </r>
    <r>
      <rPr>
        <sz val="12"/>
        <color theme="1"/>
        <rFont val="微軟正黑體"/>
        <family val="2"/>
        <charset val="136"/>
      </rPr>
      <t>:</t>
    </r>
    <phoneticPr fontId="1" type="noConversion"/>
  </si>
  <si>
    <r>
      <t xml:space="preserve">Known SD in </t>
    </r>
    <r>
      <rPr>
        <sz val="12"/>
        <color rgb="FFFF0000"/>
        <rFont val="微軟正黑體"/>
        <family val="2"/>
        <charset val="136"/>
      </rPr>
      <t>other study</t>
    </r>
    <r>
      <rPr>
        <sz val="12"/>
        <color theme="1"/>
        <rFont val="微軟正黑體"/>
        <family val="2"/>
        <charset val="136"/>
      </rPr>
      <t>:</t>
    </r>
    <phoneticPr fontId="1" type="noConversion"/>
  </si>
  <si>
    <r>
      <rPr>
        <i/>
        <sz val="12"/>
        <color theme="1"/>
        <rFont val="微軟正黑體"/>
        <family val="2"/>
        <charset val="136"/>
      </rPr>
      <t>p</t>
    </r>
    <r>
      <rPr>
        <sz val="12"/>
        <color theme="1"/>
        <rFont val="微軟正黑體"/>
        <family val="2"/>
        <charset val="136"/>
      </rPr>
      <t>-value</t>
    </r>
    <phoneticPr fontId="1" type="noConversion"/>
  </si>
  <si>
    <t>Minimum</t>
    <phoneticPr fontId="1" type="noConversion"/>
  </si>
  <si>
    <t>Maximum</t>
    <phoneticPr fontId="1" type="noConversion"/>
  </si>
  <si>
    <t>Level (%)</t>
    <phoneticPr fontId="1" type="noConversion"/>
  </si>
  <si>
    <t>Cochrane Handbook: https://www.radioterapiaitalia.it/wp-content/uploads/2017/01/cochrane-handbook-for-systematic-reviews-of-interventions.pdf</t>
    <phoneticPr fontId="1" type="noConversion"/>
  </si>
  <si>
    <t>Cohen 1988: Cohen, J. (2013). Statistical power analysis for the behavioral sciences. Routledge.</t>
    <phoneticPr fontId="1" type="noConversion"/>
  </si>
  <si>
    <t>Cochrane Handbook p. 181, 173</t>
    <phoneticPr fontId="1" type="noConversion"/>
  </si>
  <si>
    <t>Cochrane Handbook p. 173</t>
    <phoneticPr fontId="1" type="noConversion"/>
  </si>
  <si>
    <t>Cochrane Handbook p. 175, 173</t>
    <phoneticPr fontId="1" type="noConversion"/>
  </si>
  <si>
    <t>Cochrane Handbook p. 182, 173</t>
    <phoneticPr fontId="1" type="noConversion"/>
  </si>
  <si>
    <t>Cochrane Handbook p. 176</t>
    <phoneticPr fontId="1" type="noConversion"/>
  </si>
  <si>
    <t>Cohen 1988 p. 67</t>
    <phoneticPr fontId="1" type="noConversion"/>
  </si>
  <si>
    <t>SE</t>
    <phoneticPr fontId="1" type="noConversion"/>
  </si>
  <si>
    <t>Hozo 2005: Hozo, S. P., Djulbegovic, B., &amp; Hozo, I. (2005). Estimating the mean and variance from the median, range, and the size of a sample. BMC medical research methodology, 5(1), 1-10.</t>
    <phoneticPr fontId="1" type="noConversion"/>
  </si>
  <si>
    <t>Cochrane Handbook p. 487</t>
    <phoneticPr fontId="1" type="noConversion"/>
  </si>
  <si>
    <t>Hozo 2005</t>
    <phoneticPr fontId="1" type="noConversion"/>
  </si>
  <si>
    <t>Lower bound</t>
    <phoneticPr fontId="1" type="noConversion"/>
  </si>
  <si>
    <t>Upper bound</t>
    <phoneticPr fontId="1" type="noConversion"/>
  </si>
  <si>
    <t>Difference</t>
    <phoneticPr fontId="1" type="noConversion"/>
  </si>
  <si>
    <t>Group 2:</t>
    <phoneticPr fontId="1" type="noConversion"/>
  </si>
  <si>
    <t>Group 1:</t>
    <phoneticPr fontId="1" type="noConversion"/>
  </si>
  <si>
    <t>Pooled:</t>
    <phoneticPr fontId="1" type="noConversion"/>
  </si>
  <si>
    <t>Wan 2014: Wan, X., Wang, W., Liu, J., &amp; Tong, T. (2014). Estimating the sample mean and standard deviation from the sample size, median, range and/or interquartile range. BMC medical research methodology, 14(1), 1-13.</t>
    <phoneticPr fontId="1" type="noConversion"/>
  </si>
  <si>
    <t>Wan 2014 formula 14</t>
    <phoneticPr fontId="1" type="noConversion"/>
  </si>
  <si>
    <t>Pooled mean</t>
    <phoneticPr fontId="1" type="noConversion"/>
  </si>
  <si>
    <t>Pooled SD</t>
    <phoneticPr fontId="1" type="noConversion"/>
  </si>
  <si>
    <t>SE</t>
    <phoneticPr fontId="1" type="noConversion"/>
  </si>
  <si>
    <t>SD for each group</t>
    <phoneticPr fontId="1" type="noConversion"/>
  </si>
  <si>
    <t>M (Hozo 2005)</t>
    <phoneticPr fontId="1" type="noConversion"/>
  </si>
  <si>
    <t>SD (Hozo 2005)</t>
    <phoneticPr fontId="1" type="noConversion"/>
  </si>
  <si>
    <t>Optional:</t>
    <phoneticPr fontId="1" type="noConversion"/>
  </si>
  <si>
    <t>Mean (group 1)</t>
    <phoneticPr fontId="1" type="noConversion"/>
  </si>
  <si>
    <t>SD (group 1)</t>
    <phoneticPr fontId="1" type="noConversion"/>
  </si>
  <si>
    <t>n (group 1)</t>
    <phoneticPr fontId="1" type="noConversion"/>
  </si>
  <si>
    <t>Mean (group 2)</t>
    <phoneticPr fontId="1" type="noConversion"/>
  </si>
  <si>
    <t>SD (group 2)</t>
    <phoneticPr fontId="1" type="noConversion"/>
  </si>
  <si>
    <t>n (group 2)</t>
    <phoneticPr fontId="1" type="noConversion"/>
  </si>
  <si>
    <r>
      <rPr>
        <sz val="12"/>
        <color theme="0" tint="-4.9989318521683403E-2"/>
        <rFont val="新細明體"/>
        <family val="1"/>
        <charset val="136"/>
        <scheme val="minor"/>
      </rPr>
      <t>------</t>
    </r>
    <r>
      <rPr>
        <sz val="12"/>
        <color theme="1" tint="0.499984740745262"/>
        <rFont val="新細明體"/>
        <family val="1"/>
        <charset val="136"/>
        <scheme val="minor"/>
      </rPr>
      <t>-----------------------------------------------------------------------------------------------------------------------------------------------------------------------------------------------</t>
    </r>
    <phoneticPr fontId="1" type="noConversion"/>
  </si>
  <si>
    <t>M (Wan 2014)</t>
    <phoneticPr fontId="1" type="noConversion"/>
  </si>
  <si>
    <t>M (Lou 2018, S1)</t>
    <phoneticPr fontId="1" type="noConversion"/>
  </si>
  <si>
    <t>M (Lou 2018, S2)</t>
    <phoneticPr fontId="1" type="noConversion"/>
  </si>
  <si>
    <t>M (Lou 2018, S3)</t>
    <phoneticPr fontId="1" type="noConversion"/>
  </si>
  <si>
    <t>SD (Wan 2014, S2)</t>
    <phoneticPr fontId="1" type="noConversion"/>
  </si>
  <si>
    <t>SD (Wan 2014, S3)</t>
    <phoneticPr fontId="1" type="noConversion"/>
  </si>
  <si>
    <t>SD (Wan 2014, S1)</t>
    <phoneticPr fontId="1" type="noConversion"/>
  </si>
  <si>
    <r>
      <rPr>
        <b/>
        <u/>
        <sz val="16"/>
        <color theme="1"/>
        <rFont val="微軟正黑體"/>
        <family val="2"/>
        <charset val="136"/>
      </rPr>
      <t>D</t>
    </r>
    <r>
      <rPr>
        <b/>
        <sz val="16"/>
        <color theme="1"/>
        <rFont val="微軟正黑體"/>
        <family val="2"/>
        <charset val="136"/>
      </rPr>
      <t xml:space="preserve">ata </t>
    </r>
    <r>
      <rPr>
        <b/>
        <u/>
        <sz val="16"/>
        <color theme="1"/>
        <rFont val="微軟正黑體"/>
        <family val="2"/>
        <charset val="136"/>
      </rPr>
      <t>E</t>
    </r>
    <r>
      <rPr>
        <b/>
        <sz val="16"/>
        <color theme="1"/>
        <rFont val="微軟正黑體"/>
        <family val="2"/>
        <charset val="136"/>
      </rPr>
      <t xml:space="preserve">stimation and </t>
    </r>
    <r>
      <rPr>
        <b/>
        <u/>
        <sz val="16"/>
        <color theme="1"/>
        <rFont val="微軟正黑體"/>
        <family val="2"/>
        <charset val="136"/>
      </rPr>
      <t>Co</t>
    </r>
    <r>
      <rPr>
        <b/>
        <sz val="16"/>
        <color theme="1"/>
        <rFont val="微軟正黑體"/>
        <family val="2"/>
        <charset val="136"/>
      </rPr>
      <t xml:space="preserve">nversion for </t>
    </r>
    <r>
      <rPr>
        <b/>
        <u/>
        <sz val="16"/>
        <color theme="1"/>
        <rFont val="微軟正黑體"/>
        <family val="2"/>
        <charset val="136"/>
      </rPr>
      <t>M</t>
    </r>
    <r>
      <rPr>
        <b/>
        <sz val="16"/>
        <color theme="1"/>
        <rFont val="微軟正黑體"/>
        <family val="2"/>
        <charset val="136"/>
      </rPr>
      <t>eta-</t>
    </r>
    <r>
      <rPr>
        <b/>
        <u/>
        <sz val="16"/>
        <color theme="1"/>
        <rFont val="微軟正黑體"/>
        <family val="2"/>
        <charset val="136"/>
      </rPr>
      <t>a</t>
    </r>
    <r>
      <rPr>
        <b/>
        <sz val="16"/>
        <color theme="1"/>
        <rFont val="微軟正黑體"/>
        <family val="2"/>
        <charset val="136"/>
      </rPr>
      <t>nalysis (DECoMA)</t>
    </r>
    <phoneticPr fontId="1" type="noConversion"/>
  </si>
  <si>
    <t>Quartile 3</t>
    <phoneticPr fontId="1" type="noConversion"/>
  </si>
  <si>
    <t>Quartile 1</t>
    <phoneticPr fontId="1" type="noConversion"/>
  </si>
  <si>
    <t>Range</t>
    <phoneticPr fontId="1" type="noConversion"/>
  </si>
  <si>
    <t>IQR</t>
    <phoneticPr fontId="1" type="noConversion"/>
  </si>
  <si>
    <t>SE of difference</t>
    <phoneticPr fontId="1" type="noConversion"/>
  </si>
  <si>
    <t>SD (KYN)</t>
    <phoneticPr fontId="1" type="noConversion"/>
  </si>
  <si>
    <t>SD (Wan 2005)</t>
    <phoneticPr fontId="1" type="noConversion"/>
  </si>
  <si>
    <t>SE</t>
    <phoneticPr fontId="1" type="noConversion"/>
  </si>
  <si>
    <t>Single</t>
  </si>
  <si>
    <t>Method</t>
    <phoneticPr fontId="1" type="noConversion"/>
  </si>
  <si>
    <t>Type of difference</t>
    <phoneticPr fontId="1" type="noConversion"/>
  </si>
  <si>
    <t>MD</t>
  </si>
  <si>
    <t>Cochrane Handbook p. 174/182, 175</t>
    <phoneticPr fontId="1" type="noConversion"/>
  </si>
  <si>
    <t>Note</t>
    <phoneticPr fontId="1" type="noConversion"/>
  </si>
  <si>
    <t>DECoMA</t>
    <phoneticPr fontId="1" type="noConversion"/>
  </si>
  <si>
    <t>Introduction</t>
    <phoneticPr fontId="1" type="noConversion"/>
  </si>
  <si>
    <t>Current version:</t>
    <phoneticPr fontId="1" type="noConversion"/>
  </si>
  <si>
    <t>Version date:</t>
    <phoneticPr fontId="1" type="noConversion"/>
  </si>
  <si>
    <t>User guidance:</t>
    <phoneticPr fontId="1" type="noConversion"/>
  </si>
  <si>
    <t>Step 1:</t>
    <phoneticPr fontId="1" type="noConversion"/>
  </si>
  <si>
    <t>Step 2:</t>
    <phoneticPr fontId="1" type="noConversion"/>
  </si>
  <si>
    <t>Step 3:</t>
    <phoneticPr fontId="1" type="noConversion"/>
  </si>
  <si>
    <t>Correlation base</t>
    <phoneticPr fontId="1" type="noConversion"/>
  </si>
  <si>
    <t>BETWEEN-GROUP SCENARIOs (statistics of two research groups)</t>
    <phoneticPr fontId="1" type="noConversion"/>
  </si>
  <si>
    <t>WIGHIN-GROUP SCENARIOs (descriptive statistics of each research group)</t>
    <phoneticPr fontId="1" type="noConversion"/>
  </si>
  <si>
    <t>Input values should be entered from the smallest to the largest if a formula requests more than two values of dispersion statistics.</t>
    <phoneticPr fontId="1" type="noConversion"/>
  </si>
  <si>
    <t>Green area is for data input, and you can type in the values you extracted from the original report according to the guidance labels.</t>
    <phoneticPr fontId="1" type="noConversion"/>
  </si>
  <si>
    <t>Blue area is for data output, and you can directly copy them for meta-analysis.</t>
    <phoneticPr fontId="1" type="noConversion"/>
  </si>
  <si>
    <t>Memorandum:</t>
    <phoneticPr fontId="1" type="noConversion"/>
  </si>
  <si>
    <t>and proofed by Karl Chi, Man-Yun Li, and Chiehfeng Chen.</t>
    <phoneticPr fontId="1" type="noConversion"/>
  </si>
  <si>
    <t xml:space="preserve">According to the calculations and formulas mentioned in the Cochrane Handbook, the DECoMA is proposed and built by Enoch Kang, </t>
    <phoneticPr fontId="1" type="noConversion"/>
  </si>
  <si>
    <t>The DECoMA can only deal the scenarios we have proposed in our article, and researchers have to consult statisticians for situations</t>
    <phoneticPr fontId="1" type="noConversion"/>
  </si>
  <si>
    <t>which is out of the 10 scenarios. For instance, calculation of standard deviation from some statistics of analysis of variance.</t>
    <phoneticPr fontId="1" type="noConversion"/>
  </si>
  <si>
    <t>The DECoMA is developed with Excel macro in Microsoft Office Excel 2016 version, and it can be executed in 2010 version after test,</t>
    <phoneticPr fontId="1" type="noConversion"/>
  </si>
  <si>
    <t xml:space="preserve"> but it may not be succesfully run in other Excel version or other softwares without Excel macro.</t>
    <phoneticPr fontId="1" type="noConversion"/>
  </si>
  <si>
    <t>Distribution</t>
    <phoneticPr fontId="1" type="noConversion"/>
  </si>
  <si>
    <t>Back-End of the DECoMA</t>
    <phoneticPr fontId="1" type="noConversion"/>
  </si>
  <si>
    <t>Output</t>
    <phoneticPr fontId="1" type="noConversion"/>
  </si>
  <si>
    <t>Decimal:</t>
    <phoneticPr fontId="1" type="noConversion"/>
  </si>
  <si>
    <t>Reference:</t>
    <phoneticPr fontId="1" type="noConversion"/>
  </si>
  <si>
    <t>Old SE</t>
    <phoneticPr fontId="1" type="noConversion"/>
  </si>
  <si>
    <t>Input</t>
    <phoneticPr fontId="1" type="noConversion"/>
  </si>
  <si>
    <t>Template:</t>
    <phoneticPr fontId="1" type="noConversion"/>
  </si>
  <si>
    <t>Yes</t>
  </si>
  <si>
    <t>No</t>
  </si>
  <si>
    <t>Abbreviation:</t>
    <phoneticPr fontId="1" type="noConversion"/>
  </si>
  <si>
    <t>CI:</t>
    <phoneticPr fontId="1" type="noConversion"/>
  </si>
  <si>
    <t>confidence interval</t>
    <phoneticPr fontId="1" type="noConversion"/>
  </si>
  <si>
    <t>IQR:</t>
    <phoneticPr fontId="1" type="noConversion"/>
  </si>
  <si>
    <t>interquartile range</t>
    <phoneticPr fontId="1" type="noConversion"/>
  </si>
  <si>
    <t>MD:</t>
    <phoneticPr fontId="1" type="noConversion"/>
  </si>
  <si>
    <t>mean difference</t>
    <phoneticPr fontId="1" type="noConversion"/>
  </si>
  <si>
    <t>n:</t>
    <phoneticPr fontId="1" type="noConversion"/>
  </si>
  <si>
    <t>sample size</t>
    <phoneticPr fontId="1" type="noConversion"/>
  </si>
  <si>
    <t>SE:</t>
    <phoneticPr fontId="1" type="noConversion"/>
  </si>
  <si>
    <t>standard error</t>
    <phoneticPr fontId="1" type="noConversion"/>
  </si>
  <si>
    <t>SD:</t>
    <phoneticPr fontId="1" type="noConversion"/>
  </si>
  <si>
    <t>standard deviation</t>
    <phoneticPr fontId="1" type="noConversion"/>
  </si>
  <si>
    <r>
      <t xml:space="preserve">
</t>
    </r>
    <r>
      <rPr>
        <i/>
        <sz val="12"/>
        <color theme="1"/>
        <rFont val="微軟正黑體"/>
        <family val="2"/>
        <charset val="136"/>
      </rPr>
      <t>t</t>
    </r>
    <r>
      <rPr>
        <sz val="12"/>
        <color theme="1"/>
        <rFont val="微軟正黑體"/>
        <family val="2"/>
        <charset val="136"/>
      </rPr>
      <t>-value</t>
    </r>
    <phoneticPr fontId="1" type="noConversion"/>
  </si>
  <si>
    <r>
      <rPr>
        <i/>
        <sz val="12"/>
        <color theme="1"/>
        <rFont val="微軟正黑體"/>
        <family val="2"/>
        <charset val="136"/>
      </rPr>
      <t>z</t>
    </r>
    <r>
      <rPr>
        <sz val="12"/>
        <color theme="1"/>
        <rFont val="微軟正黑體"/>
        <family val="2"/>
        <charset val="136"/>
      </rPr>
      <t>-score</t>
    </r>
    <phoneticPr fontId="1" type="noConversion"/>
  </si>
  <si>
    <t>Cochrane</t>
  </si>
  <si>
    <t>SD v1.0</t>
    <phoneticPr fontId="1" type="noConversion"/>
  </si>
  <si>
    <t>Version:</t>
    <phoneticPr fontId="1" type="noConversion"/>
  </si>
  <si>
    <t>1. Only within-group standard error (SE) is available</t>
    <phoneticPr fontId="1" type="noConversion"/>
  </si>
  <si>
    <t>2. Only within-group confidence intervals (CI; lower and upper limits) are available</t>
    <phoneticPr fontId="1" type="noConversion"/>
  </si>
  <si>
    <t>3. Descriptive statistics are available but not mean and within-group standard deviation (SD)</t>
    <phoneticPr fontId="1" type="noConversion"/>
  </si>
  <si>
    <t xml:space="preserve">     3.1. Mean, standard deviation (SD), standard error (SE) from minimum and maximum in one group data</t>
    <phoneticPr fontId="1" type="noConversion"/>
  </si>
  <si>
    <t xml:space="preserve">     3.2. Mean, standard deviation (SD), standard error (SE) from quartile in one group data</t>
    <phoneticPr fontId="1" type="noConversion"/>
  </si>
  <si>
    <t xml:space="preserve">     3.3. Mean, standard deviation (SD), standard error (SE) from minimum, quartile, and maximum in one group data</t>
    <phoneticPr fontId="1" type="noConversion"/>
  </si>
  <si>
    <t xml:space="preserve">     3.4. Standard deviation (SD) and standard error (SE) from range (without minimum and maximum) in one group data</t>
    <phoneticPr fontId="1" type="noConversion"/>
  </si>
  <si>
    <t xml:space="preserve">     3.5. Standard deviation (SD) and standard error (SE) from interquartile range (IQR, without quartile 1 and 3) in one group data</t>
    <phoneticPr fontId="1" type="noConversion"/>
  </si>
  <si>
    <t>4. Pooled standard deviation (SD) from two groups</t>
    <phoneticPr fontId="1" type="noConversion"/>
  </si>
  <si>
    <t>5. Standard deviation (SD) for change score</t>
    <phoneticPr fontId="1" type="noConversion"/>
  </si>
  <si>
    <t xml:space="preserve">    5.1. SD in groups</t>
    <phoneticPr fontId="1" type="noConversion"/>
  </si>
  <si>
    <t xml:space="preserve">     5.2. SD in a single group or pooled SD</t>
    <phoneticPr fontId="1" type="noConversion"/>
  </si>
  <si>
    <r>
      <t xml:space="preserve">8. Only effect estimate with quantiles of </t>
    </r>
    <r>
      <rPr>
        <b/>
        <i/>
        <sz val="12"/>
        <color theme="1"/>
        <rFont val="微軟正黑體"/>
        <family val="2"/>
        <charset val="136"/>
      </rPr>
      <t>z-score</t>
    </r>
    <r>
      <rPr>
        <b/>
        <sz val="12"/>
        <color theme="1"/>
        <rFont val="微軟正黑體"/>
        <family val="2"/>
        <charset val="136"/>
      </rPr>
      <t xml:space="preserve"> between two groups are available</t>
    </r>
    <phoneticPr fontId="1" type="noConversion"/>
  </si>
  <si>
    <t>6. Available data is standard error (SE) of difference between two groups</t>
    <phoneticPr fontId="1" type="noConversion"/>
  </si>
  <si>
    <t>7. Only effect estimates with corresponding confidence intervals (CI; lower and upper limits) are available</t>
    <phoneticPr fontId="1" type="noConversion"/>
  </si>
  <si>
    <r>
      <t xml:space="preserve">9. Only effect estimate with </t>
    </r>
    <r>
      <rPr>
        <b/>
        <i/>
        <sz val="12"/>
        <color theme="1"/>
        <rFont val="微軟正黑體"/>
        <family val="2"/>
        <charset val="136"/>
      </rPr>
      <t>t</t>
    </r>
    <r>
      <rPr>
        <b/>
        <sz val="12"/>
        <color theme="1"/>
        <rFont val="微軟正黑體"/>
        <family val="2"/>
        <charset val="136"/>
      </rPr>
      <t>-value between two groups are available</t>
    </r>
    <phoneticPr fontId="1" type="noConversion"/>
  </si>
  <si>
    <r>
      <t xml:space="preserve">10. Only effect estimates with </t>
    </r>
    <r>
      <rPr>
        <b/>
        <i/>
        <sz val="12"/>
        <color theme="1"/>
        <rFont val="微軟正黑體"/>
        <family val="2"/>
        <charset val="136"/>
      </rPr>
      <t>p</t>
    </r>
    <r>
      <rPr>
        <b/>
        <sz val="12"/>
        <color theme="1"/>
        <rFont val="微軟正黑體"/>
        <family val="2"/>
        <charset val="136"/>
      </rPr>
      <t>-value between two groups are available</t>
    </r>
    <phoneticPr fontId="1" type="noConversion"/>
  </si>
  <si>
    <t>Framework of the DECoMA:</t>
    <phoneticPr fontId="1" type="noConversion"/>
  </si>
  <si>
    <t xml:space="preserve">Choose a circumstance according to the scenario you are encountering. </t>
    <phoneticPr fontId="1" type="noConversion"/>
  </si>
  <si>
    <t>First five circumstances can be used when you have descriptive statistics of a research group.</t>
    <phoneticPr fontId="1" type="noConversion"/>
  </si>
  <si>
    <t>Rest five circumstances can be used when you have effect estimates with other statistics of two group comparison.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</si>
</sst>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00"/>
    <numFmt numFmtId="178" formatCode="0.0"/>
  </numFmts>
  <fonts count="30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6"/>
      <color theme="1"/>
      <name val="微軟正黑體"/>
      <family val="2"/>
      <charset val="136"/>
    </font>
    <font>
      <i/>
      <sz val="12"/>
      <color theme="1"/>
      <name val="微軟正黑體"/>
      <family val="2"/>
      <charset val="136"/>
    </font>
    <font>
      <sz val="12"/>
      <color theme="0" tint="-4.9989318521683403E-2"/>
      <name val="新細明體"/>
      <family val="1"/>
      <charset val="136"/>
      <scheme val="minor"/>
    </font>
    <font>
      <sz val="12"/>
      <color theme="1" tint="0.499984740745262"/>
      <name val="新細明體"/>
      <family val="1"/>
      <charset val="136"/>
      <scheme val="minor"/>
    </font>
    <font>
      <i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u/>
      <sz val="16"/>
      <color theme="1"/>
      <name val="微軟正黑體"/>
      <family val="2"/>
      <charset val="136"/>
    </font>
    <font>
      <sz val="9"/>
      <color theme="1"/>
      <name val="微軟正黑體 Light"/>
      <family val="2"/>
      <charset val="136"/>
    </font>
    <font>
      <sz val="12"/>
      <color theme="0"/>
      <name val="新細明體"/>
      <family val="1"/>
      <charset val="136"/>
      <scheme val="minor"/>
    </font>
    <font>
      <sz val="6"/>
      <color theme="1"/>
      <name val="新細明體"/>
      <family val="2"/>
      <charset val="136"/>
      <scheme val="minor"/>
    </font>
    <font>
      <b/>
      <i/>
      <sz val="12"/>
      <color theme="1"/>
      <name val="微軟正黑體"/>
      <family val="2"/>
      <charset val="136"/>
    </font>
    <font>
      <sz val="12"/>
      <color theme="1"/>
      <name val="微軟正黑體 Light"/>
      <family val="2"/>
      <charset val="136"/>
    </font>
    <font>
      <b/>
      <sz val="12"/>
      <color theme="1"/>
      <name val="微軟正黑體 Light"/>
      <family val="2"/>
      <charset val="136"/>
    </font>
    <font>
      <sz val="1"/>
      <color theme="0"/>
      <name val="新細明體"/>
      <family val="2"/>
      <charset val="136"/>
      <scheme val="minor"/>
    </font>
    <font>
      <sz val="1"/>
      <color theme="0"/>
      <name val="微軟正黑體 Light"/>
      <family val="2"/>
      <charset val="136"/>
    </font>
    <font>
      <b/>
      <sz val="12"/>
      <color theme="0"/>
      <name val="微軟正黑體 Light"/>
      <family val="2"/>
      <charset val="136"/>
    </font>
    <font>
      <sz val="12"/>
      <color theme="0"/>
      <name val="微軟正黑體 Light"/>
      <family val="2"/>
      <charset val="136"/>
    </font>
    <font>
      <b/>
      <sz val="12"/>
      <color rgb="FFC00000"/>
      <name val="微軟正黑體 Light"/>
      <family val="2"/>
      <charset val="136"/>
    </font>
    <font>
      <sz val="12"/>
      <color rgb="FFFF0000"/>
      <name val="微軟正黑體 Light"/>
      <family val="2"/>
      <charset val="136"/>
    </font>
    <font>
      <sz val="12"/>
      <color rgb="FFFF0000"/>
      <name val="新細明體"/>
      <family val="1"/>
      <charset val="136"/>
      <scheme val="minor"/>
    </font>
    <font>
      <b/>
      <sz val="16"/>
      <color theme="0"/>
      <name val="微軟正黑體"/>
      <family val="2"/>
      <charset val="136"/>
    </font>
    <font>
      <sz val="8"/>
      <color theme="1"/>
      <name val="微軟正黑體 Light"/>
      <family val="2"/>
      <charset val="136"/>
    </font>
    <font>
      <sz val="7.5"/>
      <color theme="1"/>
      <name val="微軟正黑體 Light"/>
      <family val="2"/>
      <charset val="136"/>
    </font>
    <font>
      <sz val="1"/>
      <color theme="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2" fillId="3" borderId="0" xfId="0" applyFont="1" applyFill="1" applyAlignment="1" applyProtection="1">
      <alignment horizontal="center" vertical="center"/>
      <protection hidden="1"/>
    </xf>
    <xf numFmtId="176" fontId="2" fillId="3" borderId="0" xfId="0" applyNumberFormat="1" applyFont="1" applyFill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Protection="1">
      <alignment vertical="center"/>
      <protection hidden="1"/>
    </xf>
    <xf numFmtId="14" fontId="15" fillId="5" borderId="0" xfId="0" applyNumberFormat="1" applyFont="1" applyFill="1" applyProtection="1">
      <alignment vertical="center"/>
      <protection hidden="1"/>
    </xf>
    <xf numFmtId="0" fontId="13" fillId="5" borderId="0" xfId="0" applyFont="1" applyFill="1" applyProtection="1">
      <alignment vertical="center"/>
      <protection hidden="1"/>
    </xf>
    <xf numFmtId="0" fontId="0" fillId="5" borderId="0" xfId="0" applyFill="1" applyProtection="1">
      <alignment vertical="center"/>
      <protection hidden="1"/>
    </xf>
    <xf numFmtId="14" fontId="0" fillId="5" borderId="0" xfId="0" applyNumberFormat="1" applyFill="1" applyProtection="1">
      <alignment vertical="center"/>
      <protection hidden="1"/>
    </xf>
    <xf numFmtId="0" fontId="14" fillId="5" borderId="0" xfId="0" applyFont="1" applyFill="1" applyAlignment="1" applyProtection="1">
      <alignment horizontal="right" vertical="center"/>
      <protection hidden="1"/>
    </xf>
    <xf numFmtId="0" fontId="0" fillId="4" borderId="0" xfId="0" applyFill="1" applyProtection="1">
      <alignment vertical="center"/>
      <protection hidden="1"/>
    </xf>
    <xf numFmtId="0" fontId="2" fillId="4" borderId="0" xfId="0" applyFont="1" applyFill="1" applyProtection="1">
      <alignment vertical="center"/>
      <protection hidden="1"/>
    </xf>
    <xf numFmtId="0" fontId="3" fillId="4" borderId="0" xfId="0" applyFont="1" applyFill="1" applyProtection="1">
      <alignment vertical="center"/>
      <protection hidden="1"/>
    </xf>
    <xf numFmtId="0" fontId="6" fillId="4" borderId="0" xfId="0" applyFont="1" applyFill="1" applyAlignment="1" applyProtection="1">
      <alignment horizontal="right" vertical="center"/>
      <protection hidden="1"/>
    </xf>
    <xf numFmtId="0" fontId="2" fillId="4" borderId="0" xfId="0" applyFont="1" applyFill="1" applyAlignment="1" applyProtection="1">
      <alignment horizontal="center" vertical="center"/>
      <protection hidden="1"/>
    </xf>
    <xf numFmtId="0" fontId="2" fillId="4" borderId="0" xfId="0" applyFont="1" applyFill="1" applyAlignment="1" applyProtection="1">
      <alignment horizontal="right" vertical="center"/>
      <protection hidden="1"/>
    </xf>
    <xf numFmtId="177" fontId="2" fillId="2" borderId="0" xfId="0" applyNumberFormat="1" applyFont="1" applyFill="1" applyAlignment="1" applyProtection="1">
      <alignment horizontal="center" vertical="center"/>
      <protection locked="0" hidden="1"/>
    </xf>
    <xf numFmtId="0" fontId="2" fillId="2" borderId="0" xfId="0" applyFont="1" applyFill="1" applyAlignment="1" applyProtection="1">
      <alignment horizontal="center" vertical="center"/>
      <protection locked="0" hidden="1"/>
    </xf>
    <xf numFmtId="0" fontId="2" fillId="5" borderId="0" xfId="0" applyFont="1" applyFill="1" applyProtection="1">
      <alignment vertical="center"/>
      <protection hidden="1"/>
    </xf>
    <xf numFmtId="0" fontId="2" fillId="4" borderId="0" xfId="0" applyFont="1" applyFill="1" applyAlignment="1" applyProtection="1">
      <alignment horizontal="left" vertical="center"/>
      <protection hidden="1"/>
    </xf>
    <xf numFmtId="0" fontId="11" fillId="4" borderId="0" xfId="0" applyFont="1" applyFill="1" applyAlignment="1" applyProtection="1">
      <alignment horizontal="right" vertical="center"/>
      <protection hidden="1"/>
    </xf>
    <xf numFmtId="0" fontId="6" fillId="4" borderId="0" xfId="0" applyFont="1" applyFill="1" applyAlignment="1" applyProtection="1">
      <alignment horizontal="right" vertical="center" wrapText="1"/>
      <protection hidden="1"/>
    </xf>
    <xf numFmtId="0" fontId="10" fillId="4" borderId="0" xfId="0" applyFont="1" applyFill="1" applyAlignment="1" applyProtection="1">
      <alignment horizontal="right" vertical="center"/>
      <protection hidden="1"/>
    </xf>
    <xf numFmtId="0" fontId="0" fillId="4" borderId="0" xfId="0" quotePrefix="1" applyFill="1" applyAlignment="1" applyProtection="1">
      <alignment horizontal="left" vertical="center"/>
      <protection hidden="1"/>
    </xf>
    <xf numFmtId="0" fontId="0" fillId="4" borderId="0" xfId="0" quotePrefix="1" applyFill="1" applyProtection="1">
      <alignment vertical="center"/>
      <protection hidden="1"/>
    </xf>
    <xf numFmtId="0" fontId="0" fillId="4" borderId="0" xfId="0" applyFill="1" applyAlignment="1" applyProtection="1">
      <alignment horizontal="right" vertical="center"/>
      <protection hidden="1"/>
    </xf>
    <xf numFmtId="0" fontId="3" fillId="5" borderId="0" xfId="0" applyFont="1" applyFill="1" applyProtection="1">
      <alignment vertical="center"/>
      <protection hidden="1"/>
    </xf>
    <xf numFmtId="0" fontId="4" fillId="5" borderId="0" xfId="0" applyFont="1" applyFill="1" applyProtection="1">
      <alignment vertical="center"/>
      <protection hidden="1"/>
    </xf>
    <xf numFmtId="0" fontId="18" fillId="5" borderId="0" xfId="0" applyFont="1" applyFill="1" applyProtection="1">
      <alignment vertical="center"/>
      <protection hidden="1"/>
    </xf>
    <xf numFmtId="0" fontId="17" fillId="5" borderId="0" xfId="0" applyFont="1" applyFill="1" applyAlignment="1" applyProtection="1">
      <alignment horizontal="right" vertical="center"/>
      <protection hidden="1"/>
    </xf>
    <xf numFmtId="15" fontId="17" fillId="5" borderId="0" xfId="0" applyNumberFormat="1" applyFont="1" applyFill="1" applyAlignment="1" applyProtection="1">
      <alignment horizontal="right" vertical="center"/>
      <protection hidden="1"/>
    </xf>
    <xf numFmtId="0" fontId="0" fillId="5" borderId="1" xfId="0" applyFill="1" applyBorder="1" applyProtection="1">
      <alignment vertical="center"/>
      <protection hidden="1"/>
    </xf>
    <xf numFmtId="0" fontId="17" fillId="5" borderId="0" xfId="0" applyFont="1" applyFill="1" applyProtection="1">
      <alignment vertical="center"/>
      <protection hidden="1"/>
    </xf>
    <xf numFmtId="14" fontId="19" fillId="5" borderId="0" xfId="0" applyNumberFormat="1" applyFont="1" applyFill="1" applyProtection="1">
      <alignment vertical="center"/>
      <protection hidden="1"/>
    </xf>
    <xf numFmtId="0" fontId="20" fillId="5" borderId="0" xfId="0" applyFont="1" applyFill="1" applyProtection="1">
      <alignment vertical="center"/>
      <protection hidden="1"/>
    </xf>
    <xf numFmtId="0" fontId="21" fillId="5" borderId="0" xfId="0" applyFont="1" applyFill="1" applyProtection="1">
      <alignment vertical="center"/>
      <protection hidden="1"/>
    </xf>
    <xf numFmtId="0" fontId="22" fillId="5" borderId="0" xfId="0" applyFont="1" applyFill="1" applyAlignment="1" applyProtection="1">
      <alignment horizontal="right" vertical="center"/>
      <protection hidden="1"/>
    </xf>
    <xf numFmtId="0" fontId="24" fillId="5" borderId="0" xfId="0" applyFont="1" applyFill="1" applyProtection="1">
      <alignment vertical="center"/>
      <protection hidden="1"/>
    </xf>
    <xf numFmtId="0" fontId="25" fillId="5" borderId="0" xfId="0" applyFont="1" applyFill="1" applyAlignment="1" applyProtection="1">
      <alignment horizontal="left" vertical="center"/>
      <protection hidden="1"/>
    </xf>
    <xf numFmtId="0" fontId="25" fillId="5" borderId="0" xfId="0" applyFont="1" applyFill="1" applyProtection="1">
      <alignment vertical="center"/>
      <protection hidden="1"/>
    </xf>
    <xf numFmtId="0" fontId="26" fillId="5" borderId="0" xfId="0" applyFont="1" applyFill="1" applyProtection="1">
      <alignment vertical="center"/>
      <protection hidden="1"/>
    </xf>
    <xf numFmtId="0" fontId="27" fillId="5" borderId="0" xfId="0" applyFont="1" applyFill="1" applyProtection="1">
      <alignment vertical="center"/>
      <protection hidden="1"/>
    </xf>
    <xf numFmtId="0" fontId="28" fillId="5" borderId="0" xfId="0" applyFont="1" applyFill="1" applyProtection="1">
      <alignment vertical="center"/>
      <protection hidden="1"/>
    </xf>
    <xf numFmtId="0" fontId="2" fillId="4" borderId="0" xfId="0" applyFont="1" applyFill="1" applyAlignment="1" applyProtection="1">
      <alignment horizontal="center"/>
      <protection hidden="1"/>
    </xf>
    <xf numFmtId="0" fontId="2" fillId="4" borderId="0" xfId="0" applyFont="1" applyFill="1" applyAlignment="1" applyProtection="1">
      <alignment horizontal="center" wrapText="1"/>
      <protection hidden="1"/>
    </xf>
    <xf numFmtId="177" fontId="7" fillId="2" borderId="0" xfId="0" applyNumberFormat="1" applyFont="1" applyFill="1" applyAlignment="1" applyProtection="1">
      <alignment horizontal="center" vertical="center"/>
      <protection locked="0" hidden="1"/>
    </xf>
    <xf numFmtId="0" fontId="13" fillId="6" borderId="0" xfId="0" applyFont="1" applyFill="1" applyProtection="1">
      <alignment vertical="center"/>
      <protection hidden="1"/>
    </xf>
    <xf numFmtId="0" fontId="0" fillId="6" borderId="0" xfId="0" applyFill="1" applyProtection="1">
      <alignment vertical="center"/>
      <protection hidden="1"/>
    </xf>
    <xf numFmtId="0" fontId="25" fillId="6" borderId="0" xfId="0" applyFont="1" applyFill="1" applyAlignment="1" applyProtection="1">
      <alignment horizontal="left" vertical="center"/>
      <protection hidden="1"/>
    </xf>
    <xf numFmtId="0" fontId="0" fillId="6" borderId="0" xfId="0" applyFill="1" applyAlignment="1" applyProtection="1">
      <alignment horizontal="left" vertical="center"/>
      <protection hidden="1"/>
    </xf>
    <xf numFmtId="0" fontId="25" fillId="6" borderId="0" xfId="0" applyFont="1" applyFill="1" applyProtection="1">
      <alignment vertical="center"/>
      <protection hidden="1"/>
    </xf>
    <xf numFmtId="0" fontId="20" fillId="6" borderId="0" xfId="0" applyFont="1" applyFill="1" applyProtection="1">
      <alignment vertical="center"/>
      <protection hidden="1"/>
    </xf>
    <xf numFmtId="0" fontId="4" fillId="6" borderId="0" xfId="0" applyFont="1" applyFill="1" applyProtection="1">
      <alignment vertical="center"/>
      <protection hidden="1"/>
    </xf>
    <xf numFmtId="14" fontId="0" fillId="6" borderId="0" xfId="0" applyNumberFormat="1" applyFill="1" applyProtection="1">
      <alignment vertical="center"/>
      <protection hidden="1"/>
    </xf>
    <xf numFmtId="0" fontId="14" fillId="6" borderId="0" xfId="0" applyFont="1" applyFill="1" applyAlignment="1" applyProtection="1">
      <alignment horizontal="right" vertical="center"/>
      <protection hidden="1"/>
    </xf>
    <xf numFmtId="0" fontId="3" fillId="6" borderId="0" xfId="0" applyFont="1" applyFill="1" applyProtection="1">
      <alignment vertical="center"/>
      <protection hidden="1"/>
    </xf>
    <xf numFmtId="0" fontId="2" fillId="6" borderId="0" xfId="0" applyFont="1" applyFill="1" applyProtection="1">
      <alignment vertical="center"/>
      <protection hidden="1"/>
    </xf>
    <xf numFmtId="0" fontId="2" fillId="5" borderId="0" xfId="0" applyFont="1" applyFill="1" applyAlignment="1" applyProtection="1">
      <alignment horizontal="left" vertical="center"/>
      <protection locked="0" hidden="1"/>
    </xf>
    <xf numFmtId="0" fontId="29" fillId="5" borderId="0" xfId="0" applyFont="1" applyFill="1" applyAlignment="1" applyProtection="1">
      <alignment horizontal="left" vertical="center"/>
      <protection hidden="1"/>
    </xf>
    <xf numFmtId="0" fontId="29" fillId="0" borderId="0" xfId="0" applyFont="1" applyAlignment="1" applyProtection="1">
      <alignment horizontal="left" vertical="center"/>
      <protection hidden="1"/>
    </xf>
    <xf numFmtId="0" fontId="29" fillId="5" borderId="0" xfId="0" applyFont="1" applyFill="1" applyProtection="1">
      <alignment vertical="center"/>
      <protection hidden="1"/>
    </xf>
    <xf numFmtId="9" fontId="29" fillId="5" borderId="0" xfId="0" applyNumberFormat="1" applyFont="1" applyFill="1" applyAlignment="1" applyProtection="1">
      <alignment horizontal="left" vertical="center"/>
      <protection hidden="1"/>
    </xf>
    <xf numFmtId="0" fontId="19" fillId="5" borderId="0" xfId="0" applyFont="1" applyFill="1" applyProtection="1">
      <alignment vertical="center"/>
      <protection hidden="1"/>
    </xf>
    <xf numFmtId="0" fontId="19" fillId="5" borderId="0" xfId="0" applyFont="1" applyFill="1" applyProtection="1">
      <alignment vertical="center"/>
      <protection locked="0" hidden="1"/>
    </xf>
    <xf numFmtId="15" fontId="19" fillId="5" borderId="0" xfId="0" applyNumberFormat="1" applyFont="1" applyFill="1" applyProtection="1">
      <alignment vertical="center"/>
      <protection hidden="1"/>
    </xf>
    <xf numFmtId="0" fontId="18" fillId="5" borderId="0" xfId="0" applyFont="1" applyFill="1" applyAlignment="1" applyProtection="1">
      <alignment horizontal="right" vertical="center"/>
      <protection hidden="1"/>
    </xf>
    <xf numFmtId="178" fontId="17" fillId="5" borderId="0" xfId="0" applyNumberFormat="1" applyFont="1" applyFill="1" applyAlignment="1" applyProtection="1">
      <alignment horizontal="right" vertical="center"/>
      <protection hidden="1"/>
    </xf>
    <xf numFmtId="176" fontId="29" fillId="5" borderId="0" xfId="0" applyNumberFormat="1" applyFont="1" applyFill="1" applyAlignment="1" applyProtection="1">
      <alignment horizontal="left" vertical="center"/>
      <protection hidden="1"/>
    </xf>
    <xf numFmtId="0" fontId="23" fillId="5" borderId="2" xfId="0" applyFont="1" applyFill="1" applyBorder="1" applyAlignment="1" applyProtection="1">
      <alignment horizontal="center" vertical="center"/>
      <protection hidden="1"/>
    </xf>
    <xf numFmtId="0" fontId="4" fillId="5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horizontal="center" vertical="center"/>
      <protection hidden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tif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106218</xdr:colOff>
      <xdr:row>2</xdr:row>
      <xdr:rowOff>11546</xdr:rowOff>
    </xdr:from>
    <xdr:to>
      <xdr:col>9</xdr:col>
      <xdr:colOff>387472</xdr:colOff>
      <xdr:row>3</xdr:row>
      <xdr:rowOff>158545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928C2CEF-CDE5-4FE1-B229-FB6AF0A3F7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-1" r="14001" b="4461"/>
        <a:stretch/>
      </xdr:blipFill>
      <xdr:spPr>
        <a:xfrm>
          <a:off x="11040918" y="373496"/>
          <a:ext cx="281254" cy="362899"/>
        </a:xfrm>
        <a:prstGeom prst="rect">
          <a:avLst/>
        </a:prstGeom>
      </xdr:spPr>
    </xdr:pic>
    <xdr:clientData/>
  </xdr:twoCellAnchor>
  <xdr:twoCellAnchor editAs="oneCell">
    <xdr:from>
      <xdr:col>3</xdr:col>
      <xdr:colOff>380999</xdr:colOff>
      <xdr:row>4</xdr:row>
      <xdr:rowOff>190500</xdr:rowOff>
    </xdr:from>
    <xdr:to>
      <xdr:col>7</xdr:col>
      <xdr:colOff>943088</xdr:colOff>
      <xdr:row>20</xdr:row>
      <xdr:rowOff>88900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6E3DF86F-5A13-4D3F-BAA4-A8829A9BF3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76" r="976"/>
        <a:stretch/>
      </xdr:blipFill>
      <xdr:spPr>
        <a:xfrm>
          <a:off x="2800349" y="990600"/>
          <a:ext cx="6518389" cy="3352800"/>
        </a:xfrm>
        <a:prstGeom prst="roundRect">
          <a:avLst>
            <a:gd name="adj" fmla="val 3257"/>
          </a:avLst>
        </a:prstGeom>
      </xdr:spPr>
    </xdr:pic>
    <xdr:clientData/>
  </xdr:twoCellAnchor>
  <xdr:twoCellAnchor editAs="oneCell">
    <xdr:from>
      <xdr:col>9</xdr:col>
      <xdr:colOff>441896</xdr:colOff>
      <xdr:row>2</xdr:row>
      <xdr:rowOff>44450</xdr:rowOff>
    </xdr:from>
    <xdr:to>
      <xdr:col>9</xdr:col>
      <xdr:colOff>742949</xdr:colOff>
      <xdr:row>3</xdr:row>
      <xdr:rowOff>139700</xdr:rowOff>
    </xdr:to>
    <xdr:pic>
      <xdr:nvPicPr>
        <xdr:cNvPr id="6" name="圖片 5" descr="臺北市立萬芳醫院- 维基百科，自由的百科全书">
          <a:extLst>
            <a:ext uri="{FF2B5EF4-FFF2-40B4-BE49-F238E27FC236}">
              <a16:creationId xmlns:a16="http://schemas.microsoft.com/office/drawing/2014/main" id="{02A58B50-E5CC-8FD7-AAC1-F4F994F0C5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76596" y="406400"/>
          <a:ext cx="301053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1137809</xdr:colOff>
      <xdr:row>0</xdr:row>
      <xdr:rowOff>57728</xdr:rowOff>
    </xdr:from>
    <xdr:to>
      <xdr:col>9</xdr:col>
      <xdr:colOff>1419063</xdr:colOff>
      <xdr:row>1</xdr:row>
      <xdr:rowOff>158545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4BED67CC-4E42-4EDA-BE63-F7E3515D6D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-1" r="14001" b="4461"/>
        <a:stretch/>
      </xdr:blipFill>
      <xdr:spPr>
        <a:xfrm>
          <a:off x="10929509" y="57728"/>
          <a:ext cx="281254" cy="361167"/>
        </a:xfrm>
        <a:prstGeom prst="rect">
          <a:avLst/>
        </a:prstGeom>
      </xdr:spPr>
    </xdr:pic>
    <xdr:clientData/>
  </xdr:twoCellAnchor>
  <xdr:twoCellAnchor editAs="oneCell">
    <xdr:from>
      <xdr:col>9</xdr:col>
      <xdr:colOff>1460500</xdr:colOff>
      <xdr:row>0</xdr:row>
      <xdr:rowOff>88900</xdr:rowOff>
    </xdr:from>
    <xdr:to>
      <xdr:col>10</xdr:col>
      <xdr:colOff>15303</xdr:colOff>
      <xdr:row>1</xdr:row>
      <xdr:rowOff>139700</xdr:rowOff>
    </xdr:to>
    <xdr:pic>
      <xdr:nvPicPr>
        <xdr:cNvPr id="2" name="圖片 1" descr="臺北市立萬芳醫院- 维基百科，自由的百科全书">
          <a:extLst>
            <a:ext uri="{FF2B5EF4-FFF2-40B4-BE49-F238E27FC236}">
              <a16:creationId xmlns:a16="http://schemas.microsoft.com/office/drawing/2014/main" id="{885C616C-846A-4980-9C4C-6B4BF2BD58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52200" y="88900"/>
          <a:ext cx="301053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1130300</xdr:colOff>
      <xdr:row>0</xdr:row>
      <xdr:rowOff>57150</xdr:rowOff>
    </xdr:from>
    <xdr:to>
      <xdr:col>11</xdr:col>
      <xdr:colOff>1411554</xdr:colOff>
      <xdr:row>1</xdr:row>
      <xdr:rowOff>157967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D94CA9A1-2741-4686-B0AC-A46C1A7861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-1" r="14001" b="4461"/>
        <a:stretch/>
      </xdr:blipFill>
      <xdr:spPr>
        <a:xfrm>
          <a:off x="10928350" y="57150"/>
          <a:ext cx="281254" cy="361167"/>
        </a:xfrm>
        <a:prstGeom prst="rect">
          <a:avLst/>
        </a:prstGeom>
      </xdr:spPr>
    </xdr:pic>
    <xdr:clientData/>
  </xdr:twoCellAnchor>
  <xdr:twoCellAnchor editAs="oneCell">
    <xdr:from>
      <xdr:col>11</xdr:col>
      <xdr:colOff>1452991</xdr:colOff>
      <xdr:row>0</xdr:row>
      <xdr:rowOff>88322</xdr:rowOff>
    </xdr:from>
    <xdr:to>
      <xdr:col>12</xdr:col>
      <xdr:colOff>109394</xdr:colOff>
      <xdr:row>1</xdr:row>
      <xdr:rowOff>139122</xdr:rowOff>
    </xdr:to>
    <xdr:pic>
      <xdr:nvPicPr>
        <xdr:cNvPr id="6" name="圖片 5" descr="臺北市立萬芳醫院- 维基百科，自由的百科全书">
          <a:extLst>
            <a:ext uri="{FF2B5EF4-FFF2-40B4-BE49-F238E27FC236}">
              <a16:creationId xmlns:a16="http://schemas.microsoft.com/office/drawing/2014/main" id="{AC4765E9-CEEF-46D3-882E-977325D2E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51041" y="88322"/>
          <a:ext cx="301053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7E415-46FD-4EB4-8250-0E522671D72F}">
  <sheetPr codeName="工作表1"/>
  <dimension ref="A1:J34"/>
  <sheetViews>
    <sheetView tabSelected="1" zoomScaleNormal="10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C27" sqref="C27"/>
    </sheetView>
  </sheetViews>
  <sheetFormatPr defaultColWidth="0" defaultRowHeight="17" zeroHeight="1" x14ac:dyDescent="0.4"/>
  <cols>
    <col min="1" max="1" width="2" style="7" customWidth="1"/>
    <col min="2" max="2" width="15" style="7" customWidth="1"/>
    <col min="3" max="3" width="17.6328125" style="7" customWidth="1"/>
    <col min="4" max="4" width="34" style="7" customWidth="1"/>
    <col min="5" max="7" width="17.08984375" style="7" customWidth="1"/>
    <col min="8" max="8" width="18.26953125" style="7" customWidth="1"/>
    <col min="9" max="9" width="18.36328125" style="7" customWidth="1"/>
    <col min="10" max="10" width="11.453125" style="7" customWidth="1"/>
    <col min="11" max="16384" width="9.08984375" style="7" hidden="1"/>
  </cols>
  <sheetData>
    <row r="1" spans="1:10" ht="8" customHeight="1" x14ac:dyDescent="0.4">
      <c r="A1" s="40" t="s">
        <v>79</v>
      </c>
      <c r="B1" s="36">
        <v>1.1000000000000001</v>
      </c>
      <c r="C1" s="35" t="s">
        <v>80</v>
      </c>
      <c r="J1" s="62"/>
    </row>
    <row r="2" spans="1:10" ht="20.5" x14ac:dyDescent="0.4">
      <c r="B2" s="27" t="s">
        <v>79</v>
      </c>
      <c r="C2" s="36"/>
      <c r="D2" s="35"/>
      <c r="E2" s="36">
        <v>1.1000000000000001</v>
      </c>
      <c r="J2" s="63"/>
    </row>
    <row r="3" spans="1:10" x14ac:dyDescent="0.4">
      <c r="B3" s="28" t="s">
        <v>81</v>
      </c>
      <c r="C3" s="30">
        <v>44726</v>
      </c>
      <c r="D3" s="8"/>
      <c r="J3" s="64">
        <f ca="1">INFO("RELEASE")-1</f>
        <v>15</v>
      </c>
    </row>
    <row r="4" spans="1:10" ht="17.5" thickBot="1" x14ac:dyDescent="0.45">
      <c r="B4" s="65" t="s">
        <v>126</v>
      </c>
      <c r="C4" s="66">
        <v>1</v>
      </c>
      <c r="D4" s="68" t="str">
        <f ca="1">IF(DATE(2024,12,30)-TODAY()&gt;0,"Excel Macros of the DECoMA is necessary for facilitating this tool!","Please use new version!")</f>
        <v>Excel Macros of the DECoMA is necessary for facilitating this tool!</v>
      </c>
      <c r="E4" s="68"/>
      <c r="F4" s="68"/>
      <c r="G4" s="68"/>
      <c r="H4" s="68"/>
      <c r="I4"/>
      <c r="J4" s="33">
        <f ca="1">IFERROR(IF(TO_DATE(TODAY())-TO_DATE(J4)&lt;0,DATE(2024,12,30),"Error"),IF(INFO("RELEASE")&gt;7,DATE(2024,12,30),DATE(2010,12,30)))</f>
        <v>45656</v>
      </c>
    </row>
    <row r="5" spans="1:10" x14ac:dyDescent="0.4">
      <c r="A5" s="31"/>
      <c r="B5" s="31"/>
      <c r="C5" s="31"/>
      <c r="D5" s="31"/>
      <c r="E5" s="31"/>
      <c r="F5" s="31"/>
      <c r="G5" s="31"/>
      <c r="H5" s="31"/>
      <c r="I5" s="31"/>
      <c r="J5" s="31"/>
    </row>
    <row r="6" spans="1:10" x14ac:dyDescent="0.4">
      <c r="B6" s="28" t="s">
        <v>144</v>
      </c>
      <c r="C6" s="32"/>
      <c r="D6" s="32"/>
      <c r="E6" s="32"/>
      <c r="F6" s="32"/>
      <c r="G6" s="32"/>
      <c r="H6" s="32"/>
      <c r="I6" s="32"/>
      <c r="J6" s="32"/>
    </row>
    <row r="7" spans="1:10" x14ac:dyDescent="0.4">
      <c r="B7" s="32"/>
      <c r="C7" s="32"/>
      <c r="D7" s="32"/>
      <c r="E7" s="32"/>
      <c r="F7" s="32"/>
      <c r="G7" s="32"/>
      <c r="H7" s="32"/>
      <c r="I7" s="32"/>
      <c r="J7" s="32"/>
    </row>
    <row r="8" spans="1:10" x14ac:dyDescent="0.4">
      <c r="B8" s="32"/>
      <c r="C8" s="32"/>
      <c r="D8" s="32"/>
      <c r="E8" s="32"/>
      <c r="F8" s="32"/>
      <c r="G8" s="32"/>
      <c r="H8" s="32"/>
      <c r="I8" s="32"/>
      <c r="J8" s="32"/>
    </row>
    <row r="9" spans="1:10" x14ac:dyDescent="0.4">
      <c r="B9" s="32"/>
      <c r="C9" s="32"/>
      <c r="D9" s="32"/>
      <c r="E9" s="32"/>
      <c r="F9" s="32"/>
      <c r="G9" s="32"/>
      <c r="H9" s="32"/>
      <c r="I9" s="32"/>
      <c r="J9" s="32"/>
    </row>
    <row r="10" spans="1:10" x14ac:dyDescent="0.4">
      <c r="B10" s="32"/>
      <c r="C10" s="32"/>
      <c r="D10" s="32"/>
      <c r="E10" s="32"/>
      <c r="F10" s="32"/>
      <c r="G10" s="32"/>
      <c r="H10" s="32"/>
      <c r="I10" s="32"/>
      <c r="J10" s="32"/>
    </row>
    <row r="11" spans="1:10" x14ac:dyDescent="0.4">
      <c r="B11" s="32"/>
      <c r="C11" s="32"/>
      <c r="D11" s="32"/>
      <c r="E11" s="32"/>
      <c r="F11" s="32"/>
      <c r="G11" s="32"/>
      <c r="H11" s="32"/>
      <c r="I11" s="32"/>
      <c r="J11" s="32"/>
    </row>
    <row r="12" spans="1:10" x14ac:dyDescent="0.4">
      <c r="B12" s="32"/>
      <c r="C12" s="32"/>
      <c r="D12" s="32"/>
      <c r="E12" s="32"/>
      <c r="F12" s="32"/>
      <c r="G12" s="32"/>
      <c r="H12" s="32"/>
      <c r="I12" s="32"/>
      <c r="J12" s="32"/>
    </row>
    <row r="13" spans="1:10" x14ac:dyDescent="0.4">
      <c r="B13" s="32"/>
      <c r="C13" s="32"/>
      <c r="D13" s="32"/>
      <c r="E13" s="32"/>
      <c r="F13" s="32"/>
      <c r="G13" s="32"/>
      <c r="H13" s="32"/>
      <c r="I13" s="32"/>
      <c r="J13" s="32"/>
    </row>
    <row r="14" spans="1:10" x14ac:dyDescent="0.4">
      <c r="B14" s="32"/>
      <c r="C14" s="32"/>
      <c r="D14" s="32"/>
      <c r="E14" s="32"/>
      <c r="F14" s="32"/>
      <c r="G14" s="32"/>
      <c r="H14" s="32"/>
      <c r="I14" s="32"/>
      <c r="J14" s="32"/>
    </row>
    <row r="15" spans="1:10" x14ac:dyDescent="0.4">
      <c r="B15" s="32"/>
      <c r="C15" s="32"/>
      <c r="D15" s="32"/>
      <c r="E15" s="32"/>
      <c r="F15" s="32"/>
      <c r="G15" s="32"/>
      <c r="H15" s="32"/>
      <c r="I15" s="32"/>
      <c r="J15" s="32"/>
    </row>
    <row r="16" spans="1:10" x14ac:dyDescent="0.4">
      <c r="B16" s="32"/>
      <c r="C16" s="32"/>
      <c r="D16" s="32"/>
      <c r="E16" s="32"/>
      <c r="F16" s="32"/>
      <c r="G16" s="32"/>
      <c r="H16" s="32"/>
      <c r="I16" s="32"/>
      <c r="J16" s="32"/>
    </row>
    <row r="17" spans="2:10" x14ac:dyDescent="0.4">
      <c r="B17" s="32"/>
      <c r="C17" s="32"/>
      <c r="D17" s="32"/>
      <c r="E17" s="32"/>
      <c r="F17" s="32"/>
      <c r="G17" s="32"/>
      <c r="H17" s="32"/>
      <c r="I17" s="32"/>
      <c r="J17" s="32"/>
    </row>
    <row r="18" spans="2:10" x14ac:dyDescent="0.4">
      <c r="B18" s="32"/>
      <c r="C18" s="32"/>
      <c r="D18" s="32"/>
      <c r="E18" s="32"/>
      <c r="F18" s="32"/>
      <c r="G18" s="32"/>
      <c r="H18" s="32"/>
      <c r="I18" s="32"/>
      <c r="J18" s="32"/>
    </row>
    <row r="19" spans="2:10" x14ac:dyDescent="0.4">
      <c r="B19" s="32"/>
      <c r="C19" s="32"/>
      <c r="D19" s="32"/>
      <c r="E19" s="32"/>
      <c r="F19" s="32"/>
      <c r="G19" s="32"/>
      <c r="H19" s="32"/>
      <c r="I19" s="32"/>
      <c r="J19" s="32"/>
    </row>
    <row r="20" spans="2:10" x14ac:dyDescent="0.4">
      <c r="B20" s="32"/>
      <c r="C20" s="32"/>
      <c r="D20" s="32"/>
      <c r="E20" s="32"/>
      <c r="F20" s="32"/>
      <c r="G20" s="32"/>
      <c r="H20" s="32"/>
      <c r="I20" s="32"/>
      <c r="J20" s="32"/>
    </row>
    <row r="21" spans="2:10" x14ac:dyDescent="0.4">
      <c r="B21" s="32"/>
      <c r="C21" s="32"/>
      <c r="D21" s="32"/>
      <c r="E21" s="32"/>
      <c r="F21" s="32"/>
      <c r="G21" s="32"/>
      <c r="H21" s="32"/>
      <c r="I21" s="32"/>
      <c r="J21" s="32"/>
    </row>
    <row r="22" spans="2:10" x14ac:dyDescent="0.4">
      <c r="D22" s="32"/>
      <c r="E22" s="32"/>
      <c r="F22" s="32"/>
      <c r="G22" s="32"/>
      <c r="H22" s="32"/>
      <c r="I22" s="32"/>
      <c r="J22" s="32"/>
    </row>
    <row r="23" spans="2:10" x14ac:dyDescent="0.4">
      <c r="B23" s="28" t="s">
        <v>82</v>
      </c>
      <c r="C23" s="32"/>
      <c r="D23" s="32"/>
      <c r="E23" s="32"/>
      <c r="F23" s="32"/>
      <c r="G23" s="32"/>
      <c r="H23" s="32"/>
      <c r="I23" s="32"/>
      <c r="J23" s="32"/>
    </row>
    <row r="24" spans="2:10" x14ac:dyDescent="0.4">
      <c r="B24" s="29" t="s">
        <v>83</v>
      </c>
      <c r="C24" s="32" t="s">
        <v>145</v>
      </c>
      <c r="D24" s="32"/>
      <c r="E24" s="32"/>
      <c r="F24" s="32"/>
      <c r="G24" s="32"/>
      <c r="H24" s="32"/>
      <c r="I24" s="32"/>
      <c r="J24" s="32"/>
    </row>
    <row r="25" spans="2:10" x14ac:dyDescent="0.4">
      <c r="C25" s="32" t="s">
        <v>146</v>
      </c>
      <c r="D25" s="32"/>
      <c r="E25" s="32"/>
      <c r="F25" s="32"/>
      <c r="G25" s="32"/>
      <c r="H25" s="32"/>
      <c r="I25" s="32"/>
      <c r="J25" s="32"/>
    </row>
    <row r="26" spans="2:10" x14ac:dyDescent="0.4">
      <c r="C26" s="32" t="s">
        <v>147</v>
      </c>
      <c r="D26" s="32"/>
      <c r="E26" s="32"/>
      <c r="F26" s="32"/>
      <c r="G26" s="32"/>
      <c r="H26" s="32"/>
      <c r="I26" s="32"/>
      <c r="J26" s="32"/>
    </row>
    <row r="27" spans="2:10" x14ac:dyDescent="0.4">
      <c r="B27" s="29" t="s">
        <v>84</v>
      </c>
      <c r="C27" s="32" t="s">
        <v>90</v>
      </c>
      <c r="D27" s="32"/>
      <c r="E27" s="32"/>
      <c r="F27" s="32"/>
      <c r="G27" s="32"/>
      <c r="H27" s="32"/>
      <c r="I27" s="32"/>
      <c r="J27" s="32"/>
    </row>
    <row r="28" spans="2:10" x14ac:dyDescent="0.4">
      <c r="B28" s="32"/>
      <c r="C28" s="32" t="s">
        <v>89</v>
      </c>
      <c r="D28" s="32"/>
      <c r="E28" s="32"/>
      <c r="F28" s="32"/>
      <c r="G28" s="32"/>
      <c r="H28" s="32"/>
      <c r="I28" s="32"/>
      <c r="J28" s="32"/>
    </row>
    <row r="29" spans="2:10" x14ac:dyDescent="0.4">
      <c r="B29" s="29" t="s">
        <v>85</v>
      </c>
      <c r="C29" s="32" t="s">
        <v>91</v>
      </c>
      <c r="D29" s="32"/>
      <c r="E29" s="32"/>
      <c r="F29" s="32"/>
      <c r="G29" s="32"/>
      <c r="H29" s="32"/>
      <c r="I29" s="32"/>
      <c r="J29" s="32"/>
    </row>
    <row r="30" spans="2:10" x14ac:dyDescent="0.4">
      <c r="B30" s="29"/>
      <c r="C30" s="32"/>
      <c r="D30" s="32"/>
      <c r="E30" s="32"/>
      <c r="F30" s="32"/>
      <c r="G30" s="32"/>
      <c r="H30" s="32"/>
      <c r="I30" s="32"/>
      <c r="J30" s="32"/>
    </row>
    <row r="31" spans="2:10" x14ac:dyDescent="0.4">
      <c r="B31" s="29"/>
      <c r="C31" s="32"/>
      <c r="D31" s="32"/>
      <c r="E31" s="32"/>
      <c r="F31" s="32"/>
      <c r="G31" s="32"/>
      <c r="H31" s="32"/>
      <c r="I31" s="32"/>
      <c r="J31" s="32"/>
    </row>
    <row r="32" spans="2:10" x14ac:dyDescent="0.4">
      <c r="B32" s="29"/>
      <c r="C32" s="32"/>
      <c r="D32" s="32"/>
      <c r="E32" s="32"/>
      <c r="F32" s="32"/>
      <c r="G32" s="32"/>
      <c r="H32" s="32"/>
      <c r="I32" s="32"/>
      <c r="J32" s="32"/>
    </row>
    <row r="33" spans="2:10" x14ac:dyDescent="0.4">
      <c r="B33" s="29"/>
      <c r="C33" s="32"/>
      <c r="D33" s="32"/>
      <c r="E33" s="32"/>
      <c r="F33" s="32"/>
      <c r="G33" s="32"/>
      <c r="H33" s="32"/>
      <c r="I33" s="32"/>
      <c r="J33" s="32"/>
    </row>
    <row r="34" spans="2:10" x14ac:dyDescent="0.4">
      <c r="B34" s="32"/>
      <c r="C34" s="32"/>
      <c r="D34" s="32"/>
      <c r="E34" s="32"/>
      <c r="F34" s="32"/>
      <c r="G34" s="32"/>
      <c r="H34" s="32"/>
      <c r="I34" s="32"/>
      <c r="J34" s="32"/>
    </row>
  </sheetData>
  <sheetProtection algorithmName="SHA-512" hashValue="OZm3UflNv6YQjGxuxzyrpGvfOkOrxWhtb9uN5Rjctkkk8/TUB95+CpngEhHigit9C1ItZMeuyDRzVkDFTOQYVQ==" saltValue="5UAXw72JfKal0iwiXX8IOA==" spinCount="100000" sheet="1" objects="1" scenarios="1" selectLockedCells="1" selectUnlockedCells="1"/>
  <mergeCells count="1">
    <mergeCell ref="D4:H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E8280-D0E1-4922-A20D-0A9420161B95}">
  <sheetPr codeName="工作表2"/>
  <dimension ref="A1:Z159"/>
  <sheetViews>
    <sheetView zoomScaleNormal="100" workbookViewId="0">
      <pane xSplit="11" ySplit="2" topLeftCell="L3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ColWidth="0" defaultRowHeight="17" zeroHeight="1" x14ac:dyDescent="0.4"/>
  <cols>
    <col min="1" max="1" width="3.36328125" style="4" customWidth="1"/>
    <col min="2" max="6" width="17.7265625" style="4" customWidth="1"/>
    <col min="7" max="7" width="16.08984375" style="4" customWidth="1"/>
    <col min="8" max="8" width="16.1796875" style="4" customWidth="1"/>
    <col min="9" max="9" width="15.90625" style="4" customWidth="1"/>
    <col min="10" max="10" width="25" style="4" customWidth="1"/>
    <col min="11" max="11" width="2.90625" style="7" customWidth="1"/>
    <col min="12" max="13" width="11.08984375" style="4" hidden="1" customWidth="1"/>
    <col min="14" max="16" width="11.08984375" style="3" hidden="1" customWidth="1"/>
    <col min="17" max="18" width="1.1796875" style="3" hidden="1" customWidth="1"/>
    <col min="19" max="24" width="6.6328125" style="3" hidden="1" customWidth="1"/>
    <col min="25" max="26" width="6.6328125" style="4" hidden="1" customWidth="1"/>
    <col min="27" max="16384" width="2.453125" style="4" hidden="1"/>
  </cols>
  <sheetData>
    <row r="1" spans="1:17" ht="20.5" x14ac:dyDescent="0.4">
      <c r="A1" s="6"/>
      <c r="B1" s="34" t="s">
        <v>78</v>
      </c>
      <c r="C1" s="69" t="s">
        <v>63</v>
      </c>
      <c r="D1" s="69"/>
      <c r="E1" s="69"/>
      <c r="F1" s="69"/>
      <c r="G1" s="69"/>
      <c r="H1" s="69"/>
      <c r="I1" s="69"/>
      <c r="J1" s="27"/>
      <c r="Q1" s="3" t="s">
        <v>22</v>
      </c>
    </row>
    <row r="2" spans="1:17" x14ac:dyDescent="0.4">
      <c r="A2" s="6"/>
      <c r="B2" s="57"/>
      <c r="C2" s="57"/>
      <c r="D2" s="7"/>
      <c r="E2" s="8"/>
      <c r="F2" s="8"/>
      <c r="G2" s="8"/>
      <c r="H2" s="8"/>
      <c r="I2" s="8"/>
      <c r="J2" s="9"/>
      <c r="Q2" s="3" t="s">
        <v>23</v>
      </c>
    </row>
    <row r="3" spans="1:17" x14ac:dyDescent="0.4">
      <c r="A3" s="6"/>
      <c r="B3" s="26" t="s">
        <v>88</v>
      </c>
      <c r="C3" s="7"/>
      <c r="D3" s="7"/>
      <c r="E3" s="7"/>
      <c r="F3" s="8"/>
      <c r="G3" s="8"/>
      <c r="H3" s="5"/>
      <c r="I3" s="5"/>
      <c r="J3" s="9"/>
    </row>
    <row r="4" spans="1:17" x14ac:dyDescent="0.4">
      <c r="A4" s="6"/>
      <c r="B4" s="10"/>
      <c r="C4" s="11"/>
      <c r="D4" s="11"/>
      <c r="E4" s="11"/>
      <c r="F4" s="11"/>
      <c r="G4" s="11"/>
      <c r="H4" s="10"/>
      <c r="I4" s="10"/>
      <c r="J4" s="11"/>
    </row>
    <row r="5" spans="1:17" x14ac:dyDescent="0.4">
      <c r="A5" s="6"/>
      <c r="B5" s="12" t="s">
        <v>127</v>
      </c>
      <c r="C5" s="10"/>
      <c r="D5" s="10"/>
      <c r="E5" s="10"/>
      <c r="F5" s="10"/>
      <c r="G5" s="10"/>
      <c r="H5" s="13"/>
      <c r="I5" s="13"/>
      <c r="J5" s="11"/>
    </row>
    <row r="6" spans="1:17" x14ac:dyDescent="0.4">
      <c r="A6" s="6"/>
      <c r="B6" s="12"/>
      <c r="C6" s="10"/>
      <c r="D6" s="10"/>
      <c r="E6" s="10"/>
      <c r="F6" s="10"/>
      <c r="G6" s="10"/>
      <c r="H6" s="13"/>
      <c r="I6" s="13"/>
      <c r="J6" s="11"/>
    </row>
    <row r="7" spans="1:17" x14ac:dyDescent="0.4">
      <c r="A7" s="6"/>
      <c r="B7" s="10"/>
      <c r="C7" s="14" t="s">
        <v>1</v>
      </c>
      <c r="D7" s="14" t="s">
        <v>2</v>
      </c>
      <c r="E7" s="11"/>
      <c r="F7" s="11"/>
      <c r="G7" s="11"/>
      <c r="H7" s="10"/>
      <c r="I7" s="10"/>
      <c r="J7" s="11"/>
    </row>
    <row r="8" spans="1:17" x14ac:dyDescent="0.4">
      <c r="A8" s="6"/>
      <c r="B8" s="15" t="s">
        <v>9</v>
      </c>
      <c r="C8" s="16">
        <v>1.0169999999999999</v>
      </c>
      <c r="D8" s="17">
        <v>25</v>
      </c>
      <c r="E8" s="11"/>
      <c r="F8" s="11"/>
      <c r="G8" s="11"/>
      <c r="H8" s="10"/>
      <c r="I8" s="10"/>
      <c r="J8" s="11"/>
    </row>
    <row r="9" spans="1:17" x14ac:dyDescent="0.4">
      <c r="A9" s="6"/>
      <c r="B9" s="11"/>
      <c r="C9" s="14" t="s">
        <v>0</v>
      </c>
      <c r="D9" s="11"/>
      <c r="E9" s="11"/>
      <c r="F9" s="11"/>
      <c r="G9" s="11"/>
      <c r="H9" s="10"/>
      <c r="I9" s="10"/>
      <c r="J9" s="11"/>
    </row>
    <row r="10" spans="1:17" x14ac:dyDescent="0.4">
      <c r="A10" s="6"/>
      <c r="B10" s="15" t="s">
        <v>10</v>
      </c>
      <c r="C10" s="1" t="str">
        <f ca="1">IF(Intro!J3=Intro!J2-1,IF(_xlfn.DAYS(Intro!$J$4,TODAY())&lt;0,"Error!",IFERROR(ROUND(Note!AB158,'Back-End'!E7),"ERROR")),"Run the macro!")</f>
        <v>Run the macro!</v>
      </c>
      <c r="D10" s="11"/>
      <c r="E10" s="11"/>
      <c r="F10" s="11"/>
      <c r="G10" s="11"/>
      <c r="H10" s="10"/>
      <c r="I10" s="10"/>
      <c r="J10" s="11"/>
    </row>
    <row r="11" spans="1:17" x14ac:dyDescent="0.4">
      <c r="A11" s="6"/>
      <c r="B11" s="10"/>
      <c r="C11" s="11"/>
      <c r="D11" s="11"/>
      <c r="E11" s="11"/>
      <c r="F11" s="11"/>
      <c r="G11" s="11"/>
      <c r="H11" s="10"/>
      <c r="I11" s="10"/>
      <c r="J11" s="11"/>
    </row>
    <row r="12" spans="1:17" x14ac:dyDescent="0.4">
      <c r="A12" s="6"/>
      <c r="B12" s="7"/>
      <c r="C12" s="7"/>
      <c r="D12" s="7"/>
      <c r="E12" s="7"/>
      <c r="F12" s="7"/>
      <c r="G12" s="7"/>
      <c r="H12" s="7"/>
      <c r="I12" s="7"/>
    </row>
    <row r="13" spans="1:17" x14ac:dyDescent="0.4">
      <c r="A13" s="6"/>
      <c r="B13" s="10"/>
      <c r="C13" s="11"/>
      <c r="D13" s="11"/>
      <c r="E13" s="11"/>
      <c r="F13" s="11"/>
      <c r="G13" s="11"/>
      <c r="H13" s="13"/>
      <c r="I13" s="13"/>
      <c r="J13" s="11"/>
    </row>
    <row r="14" spans="1:17" x14ac:dyDescent="0.4">
      <c r="A14" s="6"/>
      <c r="B14" s="12" t="s">
        <v>128</v>
      </c>
      <c r="C14" s="11"/>
      <c r="D14" s="11"/>
      <c r="E14" s="11"/>
      <c r="F14" s="11"/>
      <c r="G14" s="11"/>
      <c r="H14" s="10"/>
      <c r="I14" s="10"/>
      <c r="J14" s="11"/>
    </row>
    <row r="15" spans="1:17" x14ac:dyDescent="0.4">
      <c r="A15" s="6"/>
      <c r="B15" s="12"/>
      <c r="C15" s="11"/>
      <c r="D15" s="11"/>
      <c r="E15" s="11"/>
      <c r="F15" s="11"/>
      <c r="G15" s="11"/>
      <c r="H15" s="10"/>
      <c r="I15" s="10"/>
      <c r="J15" s="11"/>
    </row>
    <row r="16" spans="1:17" x14ac:dyDescent="0.4">
      <c r="A16" s="6"/>
      <c r="B16" s="10"/>
      <c r="C16" s="14" t="s">
        <v>34</v>
      </c>
      <c r="D16" s="14" t="s">
        <v>35</v>
      </c>
      <c r="E16" s="14" t="s">
        <v>21</v>
      </c>
      <c r="F16" s="14" t="s">
        <v>2</v>
      </c>
      <c r="G16" s="11"/>
      <c r="H16" s="14" t="s">
        <v>99</v>
      </c>
      <c r="I16" s="14"/>
      <c r="J16" s="11"/>
    </row>
    <row r="17" spans="1:10" x14ac:dyDescent="0.4">
      <c r="A17" s="6"/>
      <c r="B17" s="15" t="s">
        <v>9</v>
      </c>
      <c r="C17" s="16">
        <v>30</v>
      </c>
      <c r="D17" s="16">
        <v>34.200000000000003</v>
      </c>
      <c r="E17" s="17">
        <v>0.95</v>
      </c>
      <c r="F17" s="17">
        <v>25</v>
      </c>
      <c r="G17" s="15" t="s">
        <v>48</v>
      </c>
      <c r="H17" s="45"/>
      <c r="I17" s="11"/>
      <c r="J17" s="11"/>
    </row>
    <row r="18" spans="1:10" x14ac:dyDescent="0.4">
      <c r="A18" s="6"/>
      <c r="B18" s="10"/>
      <c r="C18" s="14" t="s">
        <v>0</v>
      </c>
      <c r="D18" s="11"/>
      <c r="E18" s="11"/>
      <c r="F18" s="11"/>
      <c r="G18" s="11"/>
      <c r="H18" s="10"/>
      <c r="I18" s="10"/>
      <c r="J18" s="11"/>
    </row>
    <row r="19" spans="1:10" x14ac:dyDescent="0.4">
      <c r="A19" s="6"/>
      <c r="B19" s="15" t="s">
        <v>10</v>
      </c>
      <c r="C19" s="1" t="str">
        <f ca="1">IF(Intro!J3=Intro!J2-1,IF(_xlfn.DAYS(Intro!$J$4,TODAY())&lt;0,"Error!",IF(H17=2,"N/A",IFERROR(ROUND(Note!AB168,'Back-End'!E7),"ERROR"))),"Run the macro!")</f>
        <v>Run the macro!</v>
      </c>
      <c r="D19" s="11"/>
      <c r="E19" s="11"/>
      <c r="F19" s="11"/>
      <c r="G19" s="11"/>
      <c r="H19" s="10"/>
      <c r="I19" s="10"/>
      <c r="J19" s="11"/>
    </row>
    <row r="20" spans="1:10" x14ac:dyDescent="0.4">
      <c r="A20" s="6"/>
      <c r="B20" s="10"/>
      <c r="C20" s="11"/>
      <c r="D20" s="11"/>
      <c r="E20" s="11"/>
      <c r="F20" s="11"/>
      <c r="G20" s="11"/>
      <c r="H20" s="11"/>
      <c r="I20" s="11"/>
      <c r="J20" s="20" t="str">
        <f>IF(J2="REF","Cochrane Handbook p. 174","")</f>
        <v/>
      </c>
    </row>
    <row r="21" spans="1:10" x14ac:dyDescent="0.4">
      <c r="A21" s="6"/>
      <c r="B21" s="7"/>
      <c r="C21" s="7"/>
      <c r="D21" s="7"/>
      <c r="E21" s="7"/>
      <c r="F21" s="7"/>
      <c r="G21" s="7"/>
      <c r="H21" s="7"/>
      <c r="I21" s="7"/>
    </row>
    <row r="22" spans="1:10" x14ac:dyDescent="0.4">
      <c r="A22" s="6"/>
      <c r="B22" s="10"/>
      <c r="C22" s="11"/>
      <c r="D22" s="11"/>
      <c r="E22" s="11"/>
      <c r="F22" s="11"/>
      <c r="G22" s="11"/>
      <c r="H22" s="21"/>
      <c r="I22" s="21"/>
      <c r="J22" s="11"/>
    </row>
    <row r="23" spans="1:10" x14ac:dyDescent="0.4">
      <c r="A23" s="6"/>
      <c r="B23" s="12" t="s">
        <v>129</v>
      </c>
      <c r="C23" s="11"/>
      <c r="D23" s="11"/>
      <c r="E23" s="11"/>
      <c r="F23" s="11"/>
      <c r="G23" s="11"/>
      <c r="H23" s="11"/>
      <c r="I23" s="11"/>
      <c r="J23" s="11"/>
    </row>
    <row r="24" spans="1:10" x14ac:dyDescent="0.4">
      <c r="A24" s="6"/>
      <c r="B24" s="12"/>
      <c r="C24" s="11"/>
      <c r="D24" s="11"/>
      <c r="E24" s="11"/>
      <c r="F24" s="11"/>
      <c r="G24" s="11"/>
      <c r="H24" s="11"/>
      <c r="I24" s="11"/>
      <c r="J24" s="11"/>
    </row>
    <row r="25" spans="1:10" x14ac:dyDescent="0.4">
      <c r="A25" s="6"/>
      <c r="B25" s="11" t="s">
        <v>130</v>
      </c>
      <c r="C25" s="11"/>
      <c r="D25" s="11"/>
      <c r="E25" s="11"/>
      <c r="F25" s="11"/>
      <c r="G25" s="11"/>
      <c r="H25" s="11"/>
      <c r="I25" s="11"/>
      <c r="J25" s="11"/>
    </row>
    <row r="26" spans="1:10" x14ac:dyDescent="0.4">
      <c r="A26" s="6"/>
      <c r="B26" s="12"/>
      <c r="C26" s="11"/>
      <c r="D26" s="11"/>
      <c r="E26" s="11"/>
      <c r="F26" s="11"/>
      <c r="G26" s="11"/>
      <c r="H26" s="11"/>
      <c r="I26" s="11"/>
      <c r="J26" s="11"/>
    </row>
    <row r="27" spans="1:10" x14ac:dyDescent="0.4">
      <c r="A27" s="6"/>
      <c r="B27" s="10"/>
      <c r="C27" s="14" t="s">
        <v>19</v>
      </c>
      <c r="D27" s="14" t="s">
        <v>12</v>
      </c>
      <c r="E27" s="14" t="s">
        <v>20</v>
      </c>
      <c r="F27" s="14" t="s">
        <v>8</v>
      </c>
      <c r="G27" s="11"/>
      <c r="H27" s="14" t="s">
        <v>11</v>
      </c>
      <c r="I27" s="14"/>
      <c r="J27" s="11"/>
    </row>
    <row r="28" spans="1:10" x14ac:dyDescent="0.4">
      <c r="A28" s="6"/>
      <c r="B28" s="15" t="s">
        <v>9</v>
      </c>
      <c r="C28" s="16">
        <v>0.01</v>
      </c>
      <c r="D28" s="16">
        <v>0.03</v>
      </c>
      <c r="E28" s="16">
        <v>0.05</v>
      </c>
      <c r="F28" s="17">
        <v>100</v>
      </c>
      <c r="G28" s="15" t="s">
        <v>48</v>
      </c>
      <c r="H28" s="16"/>
      <c r="I28" s="11"/>
      <c r="J28" s="11"/>
    </row>
    <row r="29" spans="1:10" x14ac:dyDescent="0.4">
      <c r="A29" s="6"/>
      <c r="B29" s="14"/>
      <c r="C29" s="14" t="s">
        <v>11</v>
      </c>
      <c r="D29" s="14" t="s">
        <v>0</v>
      </c>
      <c r="E29" s="11"/>
      <c r="F29" s="11"/>
      <c r="G29" s="11"/>
      <c r="H29" s="11"/>
      <c r="I29" s="11"/>
      <c r="J29" s="11"/>
    </row>
    <row r="30" spans="1:10" x14ac:dyDescent="0.4">
      <c r="A30" s="6"/>
      <c r="B30" s="15" t="s">
        <v>10</v>
      </c>
      <c r="C30" s="1" t="str">
        <f ca="1">IF(Intro!J3=Intro!J2-1,IF(_xlfn.DAYS(Intro!$J$4,TODAY())&lt;0,"Error!",IFERROR(ROUND(Note!AB180, 'Back-End'!E7),"Error!")),"Run the macro!")</f>
        <v>Run the macro!</v>
      </c>
      <c r="D30" s="1" t="str">
        <f ca="1">IF(Intro!J3=Intro!J2-1,IF(_xlfn.DAYS(Intro!$J$4,TODAY())&lt;0,"Error!",IFERROR(ROUND(Note!AC180, 'Back-End'!E7),"ERROR")),"Run the macro!")</f>
        <v>Run the macro!</v>
      </c>
      <c r="E30" s="11"/>
      <c r="F30" s="11"/>
      <c r="G30" s="11"/>
      <c r="H30" s="22"/>
      <c r="I30" s="22"/>
      <c r="J30" s="11"/>
    </row>
    <row r="31" spans="1:10" x14ac:dyDescent="0.4">
      <c r="A31" s="6"/>
      <c r="B31" s="10"/>
      <c r="C31" s="11"/>
      <c r="D31" s="11"/>
      <c r="E31" s="11"/>
      <c r="F31" s="11"/>
      <c r="G31" s="11"/>
      <c r="H31" s="11"/>
      <c r="I31" s="11"/>
      <c r="J31" s="22" t="str">
        <f>IF(J2="REF","M: Lou 2018; SD: Wan 2014", "")</f>
        <v/>
      </c>
    </row>
    <row r="32" spans="1:10" x14ac:dyDescent="0.4">
      <c r="A32" s="6"/>
      <c r="B32" s="23" t="s">
        <v>55</v>
      </c>
      <c r="C32" s="11"/>
      <c r="D32" s="11"/>
      <c r="E32" s="11"/>
      <c r="F32" s="11"/>
      <c r="G32" s="11"/>
      <c r="H32" s="21"/>
      <c r="I32" s="21"/>
      <c r="J32" s="11"/>
    </row>
    <row r="33" spans="1:10" x14ac:dyDescent="0.4">
      <c r="A33" s="6"/>
      <c r="B33" s="11" t="s">
        <v>131</v>
      </c>
      <c r="C33" s="11"/>
      <c r="D33" s="11"/>
      <c r="E33" s="11"/>
      <c r="F33" s="11"/>
      <c r="G33" s="11"/>
      <c r="H33" s="11"/>
      <c r="I33" s="11"/>
      <c r="J33" s="11"/>
    </row>
    <row r="34" spans="1:10" x14ac:dyDescent="0.4">
      <c r="A34" s="6"/>
      <c r="B34" s="12"/>
      <c r="C34" s="11"/>
      <c r="D34" s="11"/>
      <c r="E34" s="11"/>
      <c r="F34" s="11"/>
      <c r="G34" s="11"/>
      <c r="H34" s="11"/>
      <c r="I34" s="11"/>
      <c r="J34" s="11"/>
    </row>
    <row r="35" spans="1:10" x14ac:dyDescent="0.4">
      <c r="A35" s="6"/>
      <c r="B35" s="10"/>
      <c r="C35" s="14" t="s">
        <v>65</v>
      </c>
      <c r="D35" s="14" t="s">
        <v>12</v>
      </c>
      <c r="E35" s="14" t="s">
        <v>64</v>
      </c>
      <c r="F35" s="14" t="s">
        <v>2</v>
      </c>
      <c r="G35" s="11"/>
      <c r="H35" s="14" t="s">
        <v>11</v>
      </c>
      <c r="I35" s="14"/>
      <c r="J35" s="11"/>
    </row>
    <row r="36" spans="1:10" x14ac:dyDescent="0.4">
      <c r="A36" s="6"/>
      <c r="B36" s="15" t="s">
        <v>9</v>
      </c>
      <c r="C36" s="16">
        <v>0.02</v>
      </c>
      <c r="D36" s="16">
        <v>0.03</v>
      </c>
      <c r="E36" s="16">
        <v>0.04</v>
      </c>
      <c r="F36" s="17">
        <v>100</v>
      </c>
      <c r="G36" s="15" t="s">
        <v>48</v>
      </c>
      <c r="H36" s="16"/>
      <c r="I36" s="11"/>
      <c r="J36" s="11"/>
    </row>
    <row r="37" spans="1:10" x14ac:dyDescent="0.4">
      <c r="A37" s="6"/>
      <c r="B37" s="14"/>
      <c r="C37" s="14" t="s">
        <v>11</v>
      </c>
      <c r="D37" s="14" t="s">
        <v>0</v>
      </c>
      <c r="E37" s="11"/>
      <c r="F37" s="11"/>
      <c r="G37" s="11"/>
      <c r="H37" s="11"/>
      <c r="I37" s="11"/>
      <c r="J37" s="11"/>
    </row>
    <row r="38" spans="1:10" x14ac:dyDescent="0.4">
      <c r="A38" s="6"/>
      <c r="B38" s="15" t="s">
        <v>10</v>
      </c>
      <c r="C38" s="1" t="str">
        <f ca="1">IF(Intro!J3=Intro!J2-1,IF(_xlfn.DAYS(Intro!$J$4,TODAY())&lt;0,"Error!",IFERROR(ROUND(Note!AB188, 'Back-End'!E7),"ERROR")),"Run the macro!")</f>
        <v>Run the macro!</v>
      </c>
      <c r="D38" s="1" t="str">
        <f ca="1">IF(Intro!J3=Intro!J2-1,IF(_xlfn.DAYS(Intro!$J$4,TODAY())&lt;0,"Error!",IFERROR(ROUND(Note!AC188, 'Back-End'!E7),"ERROR")),"Run the macro!")</f>
        <v>Run the macro!</v>
      </c>
      <c r="E38" s="11"/>
      <c r="F38" s="11"/>
      <c r="G38" s="11"/>
      <c r="H38" s="11"/>
      <c r="I38" s="11"/>
      <c r="J38" s="11"/>
    </row>
    <row r="39" spans="1:10" x14ac:dyDescent="0.4">
      <c r="A39" s="6"/>
      <c r="B39" s="10"/>
      <c r="C39" s="11"/>
      <c r="D39" s="11"/>
      <c r="E39" s="11"/>
      <c r="F39" s="11"/>
      <c r="G39" s="11"/>
      <c r="H39" s="11"/>
      <c r="I39" s="11"/>
      <c r="J39" s="22" t="str">
        <f>IF(J2="REF","M: Lou 2018; SD: Wan 2014", "")</f>
        <v/>
      </c>
    </row>
    <row r="40" spans="1:10" x14ac:dyDescent="0.4">
      <c r="A40" s="6"/>
      <c r="B40" s="23" t="s">
        <v>55</v>
      </c>
      <c r="C40" s="11"/>
      <c r="D40" s="11"/>
      <c r="E40" s="11"/>
      <c r="F40" s="11"/>
      <c r="G40" s="11"/>
      <c r="H40" s="21"/>
      <c r="I40" s="21"/>
      <c r="J40" s="11"/>
    </row>
    <row r="41" spans="1:10" x14ac:dyDescent="0.4">
      <c r="A41" s="6"/>
      <c r="B41" s="11" t="s">
        <v>132</v>
      </c>
      <c r="C41" s="11"/>
      <c r="D41" s="11"/>
      <c r="E41" s="11"/>
      <c r="F41" s="11"/>
      <c r="G41" s="11"/>
      <c r="H41" s="11"/>
      <c r="I41" s="11"/>
      <c r="J41" s="11"/>
    </row>
    <row r="42" spans="1:10" x14ac:dyDescent="0.4">
      <c r="A42" s="6"/>
      <c r="B42" s="12"/>
      <c r="C42" s="11"/>
      <c r="D42" s="11"/>
      <c r="E42" s="11"/>
      <c r="F42" s="11"/>
      <c r="G42" s="11"/>
      <c r="H42" s="11"/>
      <c r="I42" s="11"/>
      <c r="J42" s="11"/>
    </row>
    <row r="43" spans="1:10" x14ac:dyDescent="0.4">
      <c r="A43" s="6"/>
      <c r="B43" s="10"/>
      <c r="C43" s="14" t="s">
        <v>19</v>
      </c>
      <c r="D43" s="14" t="s">
        <v>65</v>
      </c>
      <c r="E43" s="14" t="s">
        <v>12</v>
      </c>
      <c r="F43" s="14" t="s">
        <v>64</v>
      </c>
      <c r="G43" s="14" t="s">
        <v>20</v>
      </c>
      <c r="H43" s="14" t="s">
        <v>2</v>
      </c>
      <c r="I43" s="14"/>
      <c r="J43" s="11"/>
    </row>
    <row r="44" spans="1:10" x14ac:dyDescent="0.4">
      <c r="A44" s="6"/>
      <c r="B44" s="15" t="s">
        <v>9</v>
      </c>
      <c r="C44" s="16">
        <v>0.01</v>
      </c>
      <c r="D44" s="16">
        <v>0.02</v>
      </c>
      <c r="E44" s="16">
        <v>0.03</v>
      </c>
      <c r="F44" s="16">
        <v>0.04</v>
      </c>
      <c r="G44" s="16">
        <v>0.05</v>
      </c>
      <c r="H44" s="17">
        <v>100</v>
      </c>
      <c r="I44" s="11"/>
      <c r="J44" s="11"/>
    </row>
    <row r="45" spans="1:10" x14ac:dyDescent="0.4">
      <c r="A45" s="6"/>
      <c r="B45" s="14"/>
      <c r="C45" s="14" t="s">
        <v>11</v>
      </c>
      <c r="D45" s="14" t="s">
        <v>0</v>
      </c>
      <c r="E45" s="11"/>
      <c r="F45" s="11"/>
      <c r="G45" s="11"/>
      <c r="H45" s="14" t="s">
        <v>11</v>
      </c>
      <c r="I45" s="11"/>
      <c r="J45" s="11"/>
    </row>
    <row r="46" spans="1:10" x14ac:dyDescent="0.4">
      <c r="A46" s="6"/>
      <c r="B46" s="15" t="s">
        <v>10</v>
      </c>
      <c r="C46" s="1" t="str">
        <f ca="1">IF(Intro!J3=Intro!J2-1,IF(_xlfn.DAYS(Intro!$J$4,TODAY())&lt;0,"Error!",IFERROR(ROUND(Note!AB196, 'Back-End'!E7),"ERROR")),"Run the macro!")</f>
        <v>Run the macro!</v>
      </c>
      <c r="D46" s="1" t="str">
        <f ca="1">IF(Intro!J3=Intro!J2-1,IF(_xlfn.DAYS(Intro!$J$4,TODAY())&lt;0,"Error!",IFERROR(ROUND(Note!AC196, 'Back-End'!E7),"ERROR")),"Run the macro!")</f>
        <v>Run the macro!</v>
      </c>
      <c r="E46" s="11"/>
      <c r="F46" s="11"/>
      <c r="G46" s="15" t="s">
        <v>48</v>
      </c>
      <c r="H46" s="16"/>
      <c r="I46" s="11"/>
      <c r="J46" s="11"/>
    </row>
    <row r="47" spans="1:10" x14ac:dyDescent="0.4">
      <c r="A47" s="6"/>
      <c r="B47" s="10"/>
      <c r="C47" s="11"/>
      <c r="D47" s="11"/>
      <c r="E47" s="11"/>
      <c r="F47" s="11"/>
      <c r="G47" s="11"/>
      <c r="H47" s="11"/>
      <c r="I47" s="11"/>
      <c r="J47" s="22" t="str">
        <f>IF($J$2="REF","M: Lou 2018; SD: Wan 2014", "")</f>
        <v/>
      </c>
    </row>
    <row r="48" spans="1:10" x14ac:dyDescent="0.4">
      <c r="A48" s="6"/>
      <c r="B48" s="23" t="s">
        <v>55</v>
      </c>
      <c r="C48" s="11"/>
      <c r="D48" s="11"/>
      <c r="E48" s="11"/>
      <c r="F48" s="11"/>
      <c r="G48" s="11"/>
      <c r="H48" s="21"/>
      <c r="I48" s="21"/>
      <c r="J48" s="11"/>
    </row>
    <row r="49" spans="1:10" x14ac:dyDescent="0.4">
      <c r="A49" s="6"/>
      <c r="B49" s="11" t="s">
        <v>133</v>
      </c>
      <c r="C49" s="11"/>
      <c r="D49" s="11"/>
      <c r="E49" s="11"/>
      <c r="F49" s="11"/>
      <c r="G49" s="11"/>
      <c r="H49" s="11"/>
      <c r="I49" s="11"/>
      <c r="J49" s="11"/>
    </row>
    <row r="50" spans="1:10" x14ac:dyDescent="0.4">
      <c r="A50" s="6"/>
      <c r="B50" s="12"/>
      <c r="C50" s="11"/>
      <c r="D50" s="11"/>
      <c r="E50" s="11"/>
      <c r="F50" s="11"/>
      <c r="G50" s="11"/>
      <c r="H50" s="11"/>
      <c r="I50" s="11"/>
      <c r="J50" s="11"/>
    </row>
    <row r="51" spans="1:10" x14ac:dyDescent="0.4">
      <c r="A51" s="6"/>
      <c r="B51" s="10"/>
      <c r="C51" s="14" t="s">
        <v>66</v>
      </c>
      <c r="D51" s="14" t="s">
        <v>12</v>
      </c>
      <c r="E51" s="14" t="s">
        <v>2</v>
      </c>
      <c r="F51" s="11"/>
      <c r="G51" s="11"/>
      <c r="H51" s="14" t="s">
        <v>11</v>
      </c>
      <c r="I51" s="11"/>
      <c r="J51" s="11"/>
    </row>
    <row r="52" spans="1:10" x14ac:dyDescent="0.4">
      <c r="A52" s="6"/>
      <c r="B52" s="15" t="s">
        <v>9</v>
      </c>
      <c r="C52" s="16">
        <v>0.04</v>
      </c>
      <c r="D52" s="16">
        <v>0.03</v>
      </c>
      <c r="E52" s="17">
        <v>100</v>
      </c>
      <c r="F52" s="11"/>
      <c r="G52" s="15" t="s">
        <v>48</v>
      </c>
      <c r="H52" s="16"/>
      <c r="I52" s="11"/>
      <c r="J52" s="11"/>
    </row>
    <row r="53" spans="1:10" x14ac:dyDescent="0.4">
      <c r="A53" s="6"/>
      <c r="B53" s="14"/>
      <c r="C53" s="14" t="s">
        <v>11</v>
      </c>
      <c r="D53" s="14" t="s">
        <v>0</v>
      </c>
      <c r="E53" s="11"/>
      <c r="F53" s="11"/>
      <c r="G53" s="11"/>
      <c r="H53" s="11"/>
      <c r="I53" s="14"/>
      <c r="J53" s="11"/>
    </row>
    <row r="54" spans="1:10" x14ac:dyDescent="0.4">
      <c r="A54" s="6"/>
      <c r="B54" s="15" t="s">
        <v>10</v>
      </c>
      <c r="C54" s="1" t="str">
        <f ca="1">IF(Intro!J3=Intro!J2-1,IF(_xlfn.DAYS(Intro!$J$4,TODAY())&lt;0,"Error!",IFERROR(ROUND(Note!AB204, 'Back-End'!E7),"ERROR")),"Run the macro!")</f>
        <v>Run the macro!</v>
      </c>
      <c r="D54" s="1" t="str">
        <f ca="1">IF(Intro!J3=Intro!J2-1,IF(_xlfn.DAYS(Intro!$J$4,TODAY())&lt;0,"Error!",IFERROR(ROUND(Note!AC204, 'Back-End'!E7),"ERROR")),"Run the macro!")</f>
        <v>Run the macro!</v>
      </c>
      <c r="E54" s="11"/>
      <c r="F54" s="11"/>
      <c r="G54" s="11"/>
      <c r="H54" s="11"/>
      <c r="I54" s="11"/>
      <c r="J54" s="11"/>
    </row>
    <row r="55" spans="1:10" x14ac:dyDescent="0.4">
      <c r="A55" s="6"/>
      <c r="B55" s="10"/>
      <c r="C55" s="11"/>
      <c r="D55" s="11"/>
      <c r="E55" s="11"/>
      <c r="F55" s="11"/>
      <c r="G55" s="11"/>
      <c r="H55" s="11"/>
      <c r="I55" s="11"/>
      <c r="J55" s="22" t="str">
        <f>IF($J$2="REF","Wan 2014", "")</f>
        <v/>
      </c>
    </row>
    <row r="56" spans="1:10" x14ac:dyDescent="0.4">
      <c r="A56" s="6"/>
      <c r="B56" s="23" t="s">
        <v>55</v>
      </c>
      <c r="C56" s="11"/>
      <c r="D56" s="11"/>
      <c r="E56" s="11"/>
      <c r="F56" s="11"/>
      <c r="G56" s="11"/>
      <c r="H56" s="21"/>
      <c r="I56" s="21"/>
      <c r="J56" s="11"/>
    </row>
    <row r="57" spans="1:10" x14ac:dyDescent="0.4">
      <c r="A57" s="6"/>
      <c r="B57" s="11" t="s">
        <v>134</v>
      </c>
      <c r="C57" s="11"/>
      <c r="D57" s="11"/>
      <c r="E57" s="11"/>
      <c r="F57" s="11"/>
      <c r="G57" s="11"/>
      <c r="H57" s="11"/>
      <c r="I57" s="11"/>
      <c r="J57" s="11"/>
    </row>
    <row r="58" spans="1:10" x14ac:dyDescent="0.4">
      <c r="A58" s="6"/>
      <c r="B58" s="12"/>
      <c r="C58" s="11"/>
      <c r="D58" s="11"/>
      <c r="E58" s="11"/>
      <c r="F58" s="11"/>
      <c r="G58" s="11"/>
      <c r="H58" s="11"/>
      <c r="I58" s="11"/>
      <c r="J58" s="11"/>
    </row>
    <row r="59" spans="1:10" x14ac:dyDescent="0.4">
      <c r="A59" s="6"/>
      <c r="B59" s="10"/>
      <c r="C59" s="14" t="s">
        <v>67</v>
      </c>
      <c r="D59" s="14" t="s">
        <v>12</v>
      </c>
      <c r="E59" s="14" t="s">
        <v>2</v>
      </c>
      <c r="F59" s="11"/>
      <c r="G59" s="11"/>
      <c r="H59" s="14" t="s">
        <v>11</v>
      </c>
      <c r="I59" s="11"/>
      <c r="J59" s="11"/>
    </row>
    <row r="60" spans="1:10" x14ac:dyDescent="0.4">
      <c r="A60" s="6"/>
      <c r="B60" s="15" t="s">
        <v>9</v>
      </c>
      <c r="C60" s="16">
        <v>0.01</v>
      </c>
      <c r="D60" s="16">
        <v>0.03</v>
      </c>
      <c r="E60" s="17">
        <v>100</v>
      </c>
      <c r="F60" s="11"/>
      <c r="G60" s="15" t="s">
        <v>48</v>
      </c>
      <c r="H60" s="16"/>
      <c r="I60" s="11"/>
      <c r="J60" s="11"/>
    </row>
    <row r="61" spans="1:10" x14ac:dyDescent="0.4">
      <c r="A61" s="6"/>
      <c r="B61" s="14"/>
      <c r="C61" s="14" t="s">
        <v>11</v>
      </c>
      <c r="D61" s="14" t="s">
        <v>0</v>
      </c>
      <c r="E61" s="11"/>
      <c r="F61" s="11"/>
      <c r="G61" s="11"/>
      <c r="H61" s="11"/>
      <c r="I61" s="11"/>
      <c r="J61" s="11"/>
    </row>
    <row r="62" spans="1:10" x14ac:dyDescent="0.4">
      <c r="A62" s="6"/>
      <c r="B62" s="15" t="s">
        <v>10</v>
      </c>
      <c r="C62" s="1" t="str">
        <f ca="1">IF(Intro!J3=Intro!J2-1,IF(_xlfn.DAYS(Intro!$J$4,TODAY())&lt;0,"Error!",IFERROR(ROUND(Note!AB210, 'Back-End'!E7),"ERROR")),"Run the macro!")</f>
        <v>Run the macro!</v>
      </c>
      <c r="D62" s="1" t="str">
        <f ca="1">IF(Intro!J3=Intro!J2-1,IF(_xlfn.DAYS(Intro!$J$4,TODAY())&lt;0,"Error!",IFERROR(ROUND(Note!AC212, 'Back-End'!E7),"ERROR")),"Run the macro!")</f>
        <v>Run the macro!</v>
      </c>
      <c r="E62" s="11"/>
      <c r="F62" s="11"/>
      <c r="G62" s="11"/>
      <c r="H62" s="11"/>
      <c r="I62" s="11"/>
      <c r="J62" s="11"/>
    </row>
    <row r="63" spans="1:10" x14ac:dyDescent="0.4">
      <c r="A63" s="6"/>
      <c r="B63" s="10"/>
      <c r="C63" s="11"/>
      <c r="D63" s="11"/>
      <c r="E63" s="11"/>
      <c r="F63" s="11"/>
      <c r="G63" s="11"/>
      <c r="H63" s="11"/>
      <c r="I63" s="11"/>
      <c r="J63" s="22" t="str">
        <f>IF($J$2="REF","Wan 2014", "")</f>
        <v/>
      </c>
    </row>
    <row r="64" spans="1:10" x14ac:dyDescent="0.4">
      <c r="A64" s="6"/>
      <c r="B64" s="7"/>
      <c r="C64" s="7"/>
      <c r="D64" s="7"/>
      <c r="E64" s="7"/>
      <c r="F64" s="7"/>
      <c r="G64" s="7"/>
      <c r="H64" s="7"/>
      <c r="I64" s="7"/>
    </row>
    <row r="65" spans="1:10" x14ac:dyDescent="0.4">
      <c r="A65" s="6"/>
      <c r="B65" s="10"/>
      <c r="C65" s="10"/>
      <c r="D65" s="10"/>
      <c r="E65" s="10"/>
      <c r="F65" s="10"/>
      <c r="G65" s="10"/>
      <c r="H65" s="13"/>
      <c r="I65" s="13"/>
      <c r="J65" s="11"/>
    </row>
    <row r="66" spans="1:10" x14ac:dyDescent="0.4">
      <c r="A66" s="6"/>
      <c r="B66" s="12" t="s">
        <v>135</v>
      </c>
      <c r="C66" s="10"/>
      <c r="D66" s="10"/>
      <c r="E66" s="10"/>
      <c r="F66" s="10"/>
      <c r="G66" s="10"/>
      <c r="H66" s="10"/>
      <c r="I66" s="10"/>
      <c r="J66" s="11"/>
    </row>
    <row r="67" spans="1:10" x14ac:dyDescent="0.4">
      <c r="A67" s="6"/>
      <c r="B67" s="11"/>
      <c r="C67" s="11"/>
      <c r="D67" s="11"/>
      <c r="E67" s="11"/>
      <c r="F67" s="11"/>
      <c r="G67" s="11"/>
      <c r="H67" s="11"/>
      <c r="I67" s="11"/>
      <c r="J67" s="11"/>
    </row>
    <row r="68" spans="1:10" x14ac:dyDescent="0.4">
      <c r="A68" s="6"/>
      <c r="B68" s="14"/>
      <c r="C68" s="14" t="s">
        <v>49</v>
      </c>
      <c r="D68" s="14" t="s">
        <v>50</v>
      </c>
      <c r="E68" s="14" t="s">
        <v>51</v>
      </c>
      <c r="F68" s="14" t="s">
        <v>52</v>
      </c>
      <c r="G68" s="14" t="s">
        <v>53</v>
      </c>
      <c r="H68" s="14" t="s">
        <v>54</v>
      </c>
      <c r="I68" s="10"/>
      <c r="J68" s="11"/>
    </row>
    <row r="69" spans="1:10" x14ac:dyDescent="0.4">
      <c r="A69" s="6"/>
      <c r="B69" s="15" t="s">
        <v>9</v>
      </c>
      <c r="C69" s="16">
        <v>0.3</v>
      </c>
      <c r="D69" s="16">
        <v>0.2</v>
      </c>
      <c r="E69" s="17">
        <v>12</v>
      </c>
      <c r="F69" s="16">
        <v>0.7</v>
      </c>
      <c r="G69" s="16">
        <v>0.78</v>
      </c>
      <c r="H69" s="17">
        <v>7</v>
      </c>
      <c r="I69" s="10"/>
      <c r="J69" s="11"/>
    </row>
    <row r="70" spans="1:10" x14ac:dyDescent="0.4">
      <c r="A70" s="6"/>
      <c r="B70" s="14"/>
      <c r="C70" s="14" t="s">
        <v>42</v>
      </c>
      <c r="D70" s="14" t="s">
        <v>43</v>
      </c>
      <c r="E70" s="11"/>
      <c r="F70" s="10"/>
      <c r="G70" s="10"/>
      <c r="H70" s="14" t="s">
        <v>73</v>
      </c>
      <c r="I70" s="10"/>
      <c r="J70" s="11"/>
    </row>
    <row r="71" spans="1:10" x14ac:dyDescent="0.4">
      <c r="A71" s="6"/>
      <c r="B71" s="15" t="s">
        <v>10</v>
      </c>
      <c r="C71" s="1" t="str">
        <f ca="1">IF(Intro!J3=Intro!J2-1,IF(_xlfn.DAYS(Intro!$J$4,TODAY())&lt;0,"Error!",IFERROR(ROUND(Note!AB219, 'Back-End'!E7),"ERROR")),"Run the macro!")</f>
        <v>Run the macro!</v>
      </c>
      <c r="D71" s="1" t="str">
        <f ca="1">IF(Intro!J3=Intro!J2-1,IF(_xlfn.DAYS(Intro!$J$4,TODAY())&lt;0,"Error!",IFERROR(ROUND(Note!AC219, 'Back-End'!E7),"ERROR")),"Run the macro!")</f>
        <v>Run the macro!</v>
      </c>
      <c r="E71" s="11"/>
      <c r="F71" s="11"/>
      <c r="G71" s="10"/>
      <c r="H71" s="17" t="s">
        <v>124</v>
      </c>
      <c r="I71" s="10"/>
      <c r="J71" s="11"/>
    </row>
    <row r="72" spans="1:10" x14ac:dyDescent="0.4">
      <c r="A72" s="6"/>
      <c r="B72" s="14"/>
      <c r="C72" s="10"/>
      <c r="D72" s="10"/>
      <c r="E72" s="10"/>
      <c r="F72" s="14"/>
      <c r="G72" s="10"/>
      <c r="H72" s="11"/>
      <c r="I72" s="11"/>
      <c r="J72" s="11"/>
    </row>
    <row r="73" spans="1:10" x14ac:dyDescent="0.4">
      <c r="A73" s="6"/>
      <c r="B73" s="7"/>
      <c r="C73" s="7"/>
      <c r="D73" s="7"/>
      <c r="E73" s="7"/>
      <c r="F73" s="7"/>
      <c r="G73" s="7"/>
      <c r="H73" s="7"/>
      <c r="I73" s="7"/>
    </row>
    <row r="74" spans="1:10" x14ac:dyDescent="0.4">
      <c r="A74" s="6"/>
      <c r="B74" s="10"/>
      <c r="C74" s="10"/>
      <c r="D74" s="10"/>
      <c r="E74" s="10"/>
      <c r="F74" s="10"/>
      <c r="G74" s="10"/>
      <c r="H74" s="10"/>
      <c r="I74" s="10"/>
      <c r="J74" s="11"/>
    </row>
    <row r="75" spans="1:10" x14ac:dyDescent="0.4">
      <c r="A75" s="6"/>
      <c r="B75" s="12" t="s">
        <v>136</v>
      </c>
      <c r="C75" s="10"/>
      <c r="D75" s="10"/>
      <c r="E75" s="10"/>
      <c r="F75" s="10"/>
      <c r="G75" s="10"/>
      <c r="H75" s="13"/>
      <c r="I75" s="13"/>
      <c r="J75" s="11"/>
    </row>
    <row r="76" spans="1:10" x14ac:dyDescent="0.4">
      <c r="A76" s="6"/>
      <c r="B76" s="12"/>
      <c r="C76" s="10"/>
      <c r="D76" s="10"/>
      <c r="E76" s="10"/>
      <c r="F76" s="10"/>
      <c r="G76" s="10"/>
      <c r="H76" s="13"/>
      <c r="I76" s="13"/>
      <c r="J76" s="11"/>
    </row>
    <row r="77" spans="1:10" x14ac:dyDescent="0.4">
      <c r="A77" s="6"/>
      <c r="B77" s="11" t="s">
        <v>17</v>
      </c>
      <c r="C77" s="11"/>
      <c r="D77" s="11"/>
      <c r="E77" s="11"/>
      <c r="F77" s="11"/>
      <c r="G77" s="11"/>
      <c r="H77" s="11"/>
      <c r="I77" s="11"/>
      <c r="J77" s="11"/>
    </row>
    <row r="78" spans="1:10" x14ac:dyDescent="0.4">
      <c r="A78" s="6"/>
      <c r="B78" s="11" t="s">
        <v>137</v>
      </c>
      <c r="C78" s="11"/>
      <c r="D78" s="11"/>
      <c r="E78" s="11"/>
      <c r="F78" s="11"/>
      <c r="G78" s="11"/>
      <c r="H78" s="11"/>
      <c r="I78" s="11"/>
      <c r="J78" s="11"/>
    </row>
    <row r="79" spans="1:10" x14ac:dyDescent="0.4">
      <c r="A79" s="6"/>
      <c r="B79" s="14" t="s">
        <v>38</v>
      </c>
      <c r="C79" s="14" t="s">
        <v>13</v>
      </c>
      <c r="D79" s="14" t="s">
        <v>14</v>
      </c>
      <c r="E79" s="14" t="s">
        <v>15</v>
      </c>
      <c r="F79" s="14" t="s">
        <v>37</v>
      </c>
      <c r="G79" s="14" t="s">
        <v>13</v>
      </c>
      <c r="H79" s="14" t="s">
        <v>14</v>
      </c>
      <c r="I79" s="14" t="s">
        <v>15</v>
      </c>
      <c r="J79" s="11"/>
    </row>
    <row r="80" spans="1:10" x14ac:dyDescent="0.4">
      <c r="A80" s="6"/>
      <c r="B80" s="15" t="s">
        <v>9</v>
      </c>
      <c r="C80" s="16">
        <v>6.4</v>
      </c>
      <c r="D80" s="16">
        <v>7.1</v>
      </c>
      <c r="E80" s="16">
        <v>4.5</v>
      </c>
      <c r="F80" s="14"/>
      <c r="G80" s="16">
        <v>7</v>
      </c>
      <c r="H80" s="16">
        <v>6.9</v>
      </c>
      <c r="I80" s="16">
        <v>4.2</v>
      </c>
      <c r="J80" s="11"/>
    </row>
    <row r="81" spans="1:26" x14ac:dyDescent="0.4">
      <c r="A81" s="6"/>
      <c r="B81" s="23" t="s">
        <v>55</v>
      </c>
      <c r="C81" s="24"/>
      <c r="D81" s="10"/>
      <c r="E81" s="10"/>
      <c r="F81" s="10"/>
      <c r="G81" s="10"/>
      <c r="H81" s="10"/>
      <c r="I81" s="11"/>
      <c r="J81" s="11"/>
    </row>
    <row r="82" spans="1:26" x14ac:dyDescent="0.4">
      <c r="A82" s="6"/>
      <c r="B82" s="11" t="s">
        <v>138</v>
      </c>
      <c r="C82" s="24"/>
      <c r="D82" s="10"/>
      <c r="E82" s="10"/>
      <c r="F82" s="10"/>
      <c r="G82" s="10"/>
      <c r="H82" s="10"/>
      <c r="I82" s="11"/>
      <c r="J82" s="11"/>
    </row>
    <row r="83" spans="1:26" x14ac:dyDescent="0.4">
      <c r="A83" s="6"/>
      <c r="B83" s="14" t="s">
        <v>39</v>
      </c>
      <c r="C83" s="14" t="s">
        <v>13</v>
      </c>
      <c r="D83" s="14" t="s">
        <v>14</v>
      </c>
      <c r="E83" s="14" t="s">
        <v>15</v>
      </c>
      <c r="F83" s="14"/>
      <c r="G83" s="14"/>
      <c r="H83" s="11"/>
      <c r="I83" s="14" t="s">
        <v>4</v>
      </c>
      <c r="J83" s="11"/>
    </row>
    <row r="84" spans="1:26" x14ac:dyDescent="0.4">
      <c r="A84" s="6"/>
      <c r="B84" s="15" t="s">
        <v>9</v>
      </c>
      <c r="C84" s="16">
        <v>6.72</v>
      </c>
      <c r="D84" s="16">
        <v>7.01</v>
      </c>
      <c r="E84" s="16">
        <v>4.3499999999999996</v>
      </c>
      <c r="F84" s="11"/>
      <c r="G84" s="14"/>
      <c r="H84" s="15" t="s">
        <v>48</v>
      </c>
      <c r="I84" s="16"/>
      <c r="J84" s="11"/>
    </row>
    <row r="85" spans="1:26" x14ac:dyDescent="0.4">
      <c r="A85" s="6"/>
      <c r="B85" s="23" t="s">
        <v>55</v>
      </c>
      <c r="C85" s="24"/>
      <c r="D85" s="10"/>
      <c r="E85" s="10"/>
      <c r="F85" s="10"/>
      <c r="G85" s="10"/>
      <c r="H85" s="10"/>
      <c r="I85" s="11"/>
      <c r="J85" s="11"/>
    </row>
    <row r="86" spans="1:26" x14ac:dyDescent="0.4">
      <c r="A86" s="6"/>
      <c r="B86" s="11" t="s">
        <v>16</v>
      </c>
      <c r="C86" s="10"/>
      <c r="D86" s="10"/>
      <c r="E86" s="10"/>
      <c r="F86" s="14"/>
      <c r="G86" s="10"/>
      <c r="H86" s="10"/>
      <c r="I86" s="11"/>
      <c r="J86" s="11"/>
    </row>
    <row r="87" spans="1:26" x14ac:dyDescent="0.4">
      <c r="A87" s="6"/>
      <c r="B87" s="14"/>
      <c r="C87" s="14" t="s">
        <v>13</v>
      </c>
      <c r="D87" s="14" t="s">
        <v>14</v>
      </c>
      <c r="E87" s="14" t="s">
        <v>86</v>
      </c>
      <c r="F87" s="10"/>
      <c r="G87" s="10"/>
      <c r="H87" s="14"/>
      <c r="I87" s="14" t="s">
        <v>15</v>
      </c>
      <c r="J87" s="11"/>
    </row>
    <row r="88" spans="1:26" x14ac:dyDescent="0.4">
      <c r="A88" s="6"/>
      <c r="B88" s="15" t="s">
        <v>9</v>
      </c>
      <c r="C88" s="17">
        <v>4</v>
      </c>
      <c r="D88" s="17">
        <v>4.4000000000000004</v>
      </c>
      <c r="E88" s="16" t="s">
        <v>72</v>
      </c>
      <c r="F88" s="10"/>
      <c r="G88" s="10"/>
      <c r="H88" s="15" t="s">
        <v>10</v>
      </c>
      <c r="I88" s="2" t="str">
        <f ca="1">IF(Intro!J3=Intro!J2-1,IF(_xlfn.DAYS(Intro!$J$4,TODAY())&lt;0,"Error!",IF(Note!AB238="Error!", Note!AB238, IFERROR(ABS(ROUND(Note!AB238, 'Back-End'!E7)),""))),"Run the macro!")</f>
        <v>Run the macro!</v>
      </c>
      <c r="J88" s="11"/>
    </row>
    <row r="89" spans="1:26" x14ac:dyDescent="0.4">
      <c r="A89" s="6"/>
      <c r="B89" s="10"/>
      <c r="C89" s="10"/>
      <c r="D89" s="10"/>
      <c r="E89" s="10"/>
      <c r="F89" s="10"/>
      <c r="G89" s="10"/>
      <c r="H89" s="11"/>
      <c r="I89" s="11"/>
      <c r="J89" s="25" t="str">
        <f>IF(J2="REF","Cochrane Handbook p. 487", "")</f>
        <v/>
      </c>
    </row>
    <row r="90" spans="1:26" x14ac:dyDescent="0.4">
      <c r="A90" s="6"/>
      <c r="B90" s="7"/>
      <c r="C90" s="18"/>
      <c r="D90" s="18"/>
      <c r="E90" s="18"/>
      <c r="F90" s="18"/>
      <c r="G90" s="18"/>
      <c r="H90" s="7"/>
      <c r="I90" s="7"/>
      <c r="L90" s="38"/>
      <c r="M90" s="38"/>
      <c r="N90" s="38"/>
      <c r="O90" s="38"/>
      <c r="S90" s="38"/>
      <c r="T90" s="38"/>
      <c r="U90" s="38"/>
      <c r="V90" s="38"/>
      <c r="W90" s="38"/>
      <c r="X90" s="38"/>
      <c r="Y90" s="38"/>
      <c r="Z90" s="39"/>
    </row>
    <row r="91" spans="1:26" x14ac:dyDescent="0.4">
      <c r="A91" s="6"/>
      <c r="B91" s="26" t="s">
        <v>87</v>
      </c>
      <c r="C91" s="18"/>
      <c r="D91" s="18"/>
      <c r="E91" s="18"/>
      <c r="F91" s="18"/>
      <c r="G91" s="18"/>
      <c r="H91" s="7"/>
      <c r="I91" s="7"/>
    </row>
    <row r="92" spans="1:26" x14ac:dyDescent="0.4">
      <c r="A92" s="6"/>
      <c r="B92" s="10"/>
      <c r="C92" s="11"/>
      <c r="D92" s="11"/>
      <c r="E92" s="11"/>
      <c r="F92" s="11"/>
      <c r="G92" s="11"/>
      <c r="H92" s="10"/>
      <c r="I92" s="10"/>
      <c r="J92" s="11"/>
    </row>
    <row r="93" spans="1:26" x14ac:dyDescent="0.4">
      <c r="A93" s="6"/>
      <c r="B93" s="12" t="s">
        <v>140</v>
      </c>
      <c r="C93" s="10"/>
      <c r="D93" s="10"/>
      <c r="E93" s="10"/>
      <c r="F93" s="10"/>
      <c r="G93" s="10"/>
      <c r="H93" s="13"/>
      <c r="I93" s="13"/>
      <c r="J93" s="11"/>
    </row>
    <row r="94" spans="1:26" x14ac:dyDescent="0.4">
      <c r="A94" s="6"/>
      <c r="B94" s="12"/>
      <c r="C94" s="10"/>
      <c r="D94" s="10"/>
      <c r="E94" s="10"/>
      <c r="F94" s="10"/>
      <c r="G94" s="10"/>
      <c r="H94" s="13"/>
      <c r="I94" s="13"/>
      <c r="J94" s="11"/>
    </row>
    <row r="95" spans="1:26" x14ac:dyDescent="0.4">
      <c r="A95" s="6"/>
      <c r="B95" s="10"/>
      <c r="C95" s="14" t="s">
        <v>68</v>
      </c>
      <c r="D95" s="14" t="s">
        <v>51</v>
      </c>
      <c r="E95" s="14" t="s">
        <v>54</v>
      </c>
      <c r="F95" s="11"/>
      <c r="G95" s="11"/>
      <c r="H95" s="10"/>
      <c r="I95" s="10"/>
      <c r="J95" s="11"/>
    </row>
    <row r="96" spans="1:26" x14ac:dyDescent="0.4">
      <c r="A96" s="6"/>
      <c r="B96" s="15" t="s">
        <v>9</v>
      </c>
      <c r="C96" s="16">
        <v>1.37</v>
      </c>
      <c r="D96" s="17">
        <v>25</v>
      </c>
      <c r="E96" s="17">
        <v>22</v>
      </c>
      <c r="F96" s="11"/>
      <c r="G96" s="11"/>
      <c r="H96" s="10"/>
      <c r="I96" s="10"/>
      <c r="J96" s="11"/>
    </row>
    <row r="97" spans="1:10" x14ac:dyDescent="0.4">
      <c r="A97" s="6"/>
      <c r="B97" s="11"/>
      <c r="C97" s="14" t="s">
        <v>45</v>
      </c>
      <c r="D97" s="11"/>
      <c r="E97" s="11"/>
      <c r="F97" s="11"/>
      <c r="G97" s="11"/>
      <c r="H97" s="10"/>
      <c r="I97" s="10"/>
      <c r="J97" s="11"/>
    </row>
    <row r="98" spans="1:10" x14ac:dyDescent="0.4">
      <c r="A98" s="6"/>
      <c r="B98" s="15" t="s">
        <v>10</v>
      </c>
      <c r="C98" s="1" t="str">
        <f ca="1">IF(Intro!J3=Intro!J2-1,IF(_xlfn.DAYS(Intro!$J$4,TODAY())&lt;0,"Error!",IFERROR(ROUND(Note!AB148,'Back-End'!E7),"ERROR")),"Run the macro!")</f>
        <v>Run the macro!</v>
      </c>
      <c r="D98" s="11"/>
      <c r="E98" s="11"/>
      <c r="F98" s="11"/>
      <c r="G98" s="11"/>
      <c r="H98" s="10"/>
      <c r="I98" s="10"/>
      <c r="J98" s="11"/>
    </row>
    <row r="99" spans="1:10" x14ac:dyDescent="0.4">
      <c r="A99" s="6"/>
      <c r="B99" s="10"/>
      <c r="C99" s="11"/>
      <c r="D99" s="11"/>
      <c r="E99" s="11"/>
      <c r="F99" s="11"/>
      <c r="G99" s="11"/>
      <c r="H99" s="10"/>
      <c r="I99" s="10"/>
      <c r="J99" s="20" t="str">
        <f>IF($J$2="REF","Cochrane Handbook p. 175", "")</f>
        <v/>
      </c>
    </row>
    <row r="100" spans="1:10" x14ac:dyDescent="0.4">
      <c r="A100" s="6"/>
      <c r="B100" s="7"/>
      <c r="C100" s="7"/>
      <c r="D100" s="7"/>
      <c r="E100" s="7"/>
      <c r="F100" s="7"/>
      <c r="G100" s="7"/>
      <c r="H100" s="7"/>
      <c r="I100" s="7"/>
    </row>
    <row r="101" spans="1:10" x14ac:dyDescent="0.4">
      <c r="A101" s="6"/>
      <c r="B101" s="10"/>
      <c r="C101" s="11"/>
      <c r="D101" s="11"/>
      <c r="E101" s="11"/>
      <c r="F101" s="11"/>
      <c r="G101" s="11"/>
      <c r="H101" s="13"/>
      <c r="I101" s="13"/>
      <c r="J101" s="11"/>
    </row>
    <row r="102" spans="1:10" x14ac:dyDescent="0.4">
      <c r="A102" s="6"/>
      <c r="B102" s="12" t="s">
        <v>141</v>
      </c>
      <c r="C102" s="11"/>
      <c r="D102" s="11"/>
      <c r="E102" s="11"/>
      <c r="F102" s="11"/>
      <c r="G102" s="11"/>
      <c r="H102" s="10"/>
      <c r="I102" s="10"/>
      <c r="J102" s="11"/>
    </row>
    <row r="103" spans="1:10" x14ac:dyDescent="0.4">
      <c r="A103" s="6"/>
      <c r="B103" s="12"/>
      <c r="C103" s="11"/>
      <c r="D103" s="11"/>
      <c r="E103" s="11"/>
      <c r="F103" s="11"/>
      <c r="G103" s="11"/>
      <c r="H103" s="10"/>
      <c r="I103" s="10"/>
      <c r="J103" s="11"/>
    </row>
    <row r="104" spans="1:10" x14ac:dyDescent="0.4">
      <c r="A104" s="6"/>
      <c r="B104" s="10"/>
      <c r="C104" s="14" t="s">
        <v>34</v>
      </c>
      <c r="D104" s="14" t="s">
        <v>35</v>
      </c>
      <c r="E104" s="14" t="s">
        <v>21</v>
      </c>
      <c r="F104" s="14" t="s">
        <v>51</v>
      </c>
      <c r="G104" s="14" t="s">
        <v>54</v>
      </c>
      <c r="H104" s="10"/>
      <c r="I104" s="10"/>
      <c r="J104" s="10"/>
    </row>
    <row r="105" spans="1:10" x14ac:dyDescent="0.4">
      <c r="A105" s="6"/>
      <c r="B105" s="15" t="s">
        <v>9</v>
      </c>
      <c r="C105" s="16">
        <v>0.96499999999999997</v>
      </c>
      <c r="D105" s="16">
        <v>6.6349999999999998</v>
      </c>
      <c r="E105" s="17">
        <v>0.95</v>
      </c>
      <c r="F105" s="17">
        <v>25</v>
      </c>
      <c r="G105" s="17">
        <v>22</v>
      </c>
      <c r="H105" s="10"/>
      <c r="I105" s="10"/>
      <c r="J105" s="10"/>
    </row>
    <row r="106" spans="1:10" x14ac:dyDescent="0.4">
      <c r="A106" s="6"/>
      <c r="B106" s="10"/>
      <c r="C106" s="14" t="s">
        <v>45</v>
      </c>
      <c r="D106" s="11"/>
      <c r="E106" s="11"/>
      <c r="F106" s="11"/>
      <c r="G106" s="14" t="s">
        <v>99</v>
      </c>
      <c r="H106" s="10"/>
      <c r="I106" s="10"/>
      <c r="J106" s="11"/>
    </row>
    <row r="107" spans="1:10" x14ac:dyDescent="0.4">
      <c r="A107" s="6"/>
      <c r="B107" s="15" t="s">
        <v>10</v>
      </c>
      <c r="C107" s="1" t="str">
        <f ca="1">IF(Intro!J3=Intro!J2-1,IF(_xlfn.DAYS(Intro!$J$4,TODAY())&lt;0,"Error!",IF(Note!AB140="Error", "Error!",IFERROR(ROUND(Note!AB140,'Back-End'!E7),"ERROR"))),"Run the macro!")</f>
        <v>Run the macro!</v>
      </c>
      <c r="D107" s="11"/>
      <c r="E107" s="11"/>
      <c r="F107" s="15" t="s">
        <v>48</v>
      </c>
      <c r="G107" s="45"/>
      <c r="H107" s="10"/>
      <c r="I107" s="10"/>
      <c r="J107" s="11"/>
    </row>
    <row r="108" spans="1:10" x14ac:dyDescent="0.4">
      <c r="A108" s="6"/>
      <c r="B108" s="10"/>
      <c r="C108" s="11"/>
      <c r="D108" s="11"/>
      <c r="E108" s="11"/>
      <c r="F108" s="11"/>
      <c r="G108" s="11"/>
      <c r="H108" s="11"/>
      <c r="I108" s="11"/>
      <c r="J108" s="20" t="str">
        <f>IF($J$2="REF","Cochrane Handbook p. 174","")</f>
        <v/>
      </c>
    </row>
    <row r="109" spans="1:10" x14ac:dyDescent="0.4">
      <c r="A109" s="6"/>
      <c r="B109" s="7"/>
      <c r="C109" s="7"/>
      <c r="D109" s="7"/>
      <c r="E109" s="7"/>
      <c r="F109" s="7"/>
      <c r="G109" s="7"/>
      <c r="H109" s="7"/>
      <c r="I109" s="7"/>
    </row>
    <row r="110" spans="1:10" x14ac:dyDescent="0.4">
      <c r="A110" s="6"/>
      <c r="B110" s="10"/>
      <c r="C110" s="10"/>
      <c r="D110" s="10"/>
      <c r="E110" s="10"/>
      <c r="F110" s="10"/>
      <c r="G110" s="10"/>
      <c r="H110" s="13"/>
      <c r="I110" s="13"/>
      <c r="J110" s="11"/>
    </row>
    <row r="111" spans="1:10" x14ac:dyDescent="0.4">
      <c r="A111" s="6"/>
      <c r="B111" s="12" t="s">
        <v>139</v>
      </c>
      <c r="C111" s="10"/>
      <c r="D111" s="10"/>
      <c r="E111" s="10"/>
      <c r="F111" s="10"/>
      <c r="G111" s="10"/>
      <c r="H111" s="10"/>
      <c r="I111" s="10"/>
      <c r="J111" s="11"/>
    </row>
    <row r="112" spans="1:10" x14ac:dyDescent="0.4">
      <c r="A112" s="6"/>
      <c r="B112" s="12"/>
      <c r="C112" s="10"/>
      <c r="D112" s="10"/>
      <c r="E112" s="10"/>
      <c r="F112" s="10"/>
      <c r="G112" s="10"/>
      <c r="H112" s="10"/>
      <c r="I112" s="10"/>
      <c r="J112" s="11"/>
    </row>
    <row r="113" spans="1:10" x14ac:dyDescent="0.35">
      <c r="A113" s="6"/>
      <c r="B113" s="10"/>
      <c r="C113" s="43" t="s">
        <v>36</v>
      </c>
      <c r="D113" s="44" t="s">
        <v>123</v>
      </c>
      <c r="E113" s="43" t="s">
        <v>51</v>
      </c>
      <c r="F113" s="43" t="s">
        <v>54</v>
      </c>
      <c r="G113" s="11"/>
      <c r="H113" s="11"/>
      <c r="I113" s="11"/>
      <c r="J113" s="11"/>
    </row>
    <row r="114" spans="1:10" x14ac:dyDescent="0.4">
      <c r="A114" s="6"/>
      <c r="B114" s="15" t="s">
        <v>9</v>
      </c>
      <c r="C114" s="16">
        <v>0.03</v>
      </c>
      <c r="D114" s="16">
        <v>2.6520000000000001</v>
      </c>
      <c r="E114" s="17">
        <v>25</v>
      </c>
      <c r="F114" s="17">
        <v>22</v>
      </c>
      <c r="G114" s="11"/>
      <c r="H114" s="11"/>
      <c r="I114" s="11"/>
      <c r="J114" s="11"/>
    </row>
    <row r="115" spans="1:10" x14ac:dyDescent="0.4">
      <c r="A115" s="6"/>
      <c r="B115" s="15"/>
      <c r="C115" s="19" t="s">
        <v>45</v>
      </c>
      <c r="D115" s="11"/>
      <c r="E115" s="11"/>
      <c r="F115" s="11"/>
      <c r="G115" s="11"/>
      <c r="H115" s="15"/>
      <c r="I115" s="15"/>
      <c r="J115" s="11"/>
    </row>
    <row r="116" spans="1:10" x14ac:dyDescent="0.4">
      <c r="A116" s="6"/>
      <c r="B116" s="15" t="s">
        <v>10</v>
      </c>
      <c r="C116" s="1" t="str">
        <f ca="1">IF(Intro!J3=Intro!J2-1,IF(_xlfn.DAYS(Intro!$J$4,TODAY())&lt;0,"Error!",IFERROR(ABS(ROUND(Note!AB130, 'Back-End'!E7)),"ERROR")),"Run the macro!")</f>
        <v>Run the macro!</v>
      </c>
      <c r="D116" s="11"/>
      <c r="E116" s="11"/>
      <c r="F116" s="11"/>
      <c r="G116" s="11"/>
      <c r="H116" s="15"/>
      <c r="I116" s="15"/>
      <c r="J116" s="11"/>
    </row>
    <row r="117" spans="1:10" x14ac:dyDescent="0.4">
      <c r="A117" s="6"/>
      <c r="B117" s="10"/>
      <c r="C117" s="10"/>
      <c r="D117" s="10"/>
      <c r="E117" s="10"/>
      <c r="F117" s="10"/>
      <c r="G117" s="10"/>
      <c r="H117" s="11"/>
      <c r="I117" s="11"/>
      <c r="J117" s="20" t="str">
        <f>IF(J2="REF","Cochrane Handbook p. 182", "")</f>
        <v/>
      </c>
    </row>
    <row r="118" spans="1:10" x14ac:dyDescent="0.4">
      <c r="A118" s="6"/>
      <c r="C118" s="7"/>
      <c r="D118" s="7"/>
      <c r="E118" s="7"/>
      <c r="F118" s="7"/>
      <c r="G118" s="7"/>
      <c r="H118" s="7"/>
      <c r="I118" s="7"/>
    </row>
    <row r="119" spans="1:10" x14ac:dyDescent="0.4">
      <c r="A119" s="6"/>
      <c r="B119" s="10"/>
      <c r="C119" s="10"/>
      <c r="D119" s="10"/>
      <c r="E119" s="10"/>
      <c r="F119" s="10"/>
      <c r="G119" s="10"/>
      <c r="H119" s="10"/>
      <c r="I119" s="10"/>
      <c r="J119" s="11"/>
    </row>
    <row r="120" spans="1:10" x14ac:dyDescent="0.4">
      <c r="A120" s="6"/>
      <c r="B120" s="12" t="s">
        <v>142</v>
      </c>
      <c r="C120" s="10"/>
      <c r="D120" s="10"/>
      <c r="E120" s="10"/>
      <c r="F120" s="10"/>
      <c r="G120" s="10"/>
      <c r="H120" s="13"/>
      <c r="I120" s="13"/>
      <c r="J120" s="11"/>
    </row>
    <row r="121" spans="1:10" x14ac:dyDescent="0.4">
      <c r="A121" s="6"/>
      <c r="B121" s="12"/>
      <c r="C121" s="10"/>
      <c r="D121" s="10"/>
      <c r="E121" s="10"/>
      <c r="F121" s="10"/>
      <c r="G121" s="10"/>
      <c r="H121" s="13"/>
      <c r="I121" s="13"/>
      <c r="J121" s="11"/>
    </row>
    <row r="122" spans="1:10" ht="31" x14ac:dyDescent="0.35">
      <c r="A122" s="6"/>
      <c r="B122" s="10"/>
      <c r="C122" s="43" t="s">
        <v>36</v>
      </c>
      <c r="D122" s="44" t="s">
        <v>122</v>
      </c>
      <c r="E122" s="43" t="s">
        <v>51</v>
      </c>
      <c r="F122" s="43" t="s">
        <v>54</v>
      </c>
      <c r="G122" s="10"/>
      <c r="H122" s="10"/>
      <c r="I122" s="10"/>
      <c r="J122" s="11"/>
    </row>
    <row r="123" spans="1:10" x14ac:dyDescent="0.4">
      <c r="A123" s="6"/>
      <c r="B123" s="15" t="s">
        <v>9</v>
      </c>
      <c r="C123" s="16">
        <v>3.8</v>
      </c>
      <c r="D123" s="16">
        <v>2.78</v>
      </c>
      <c r="E123" s="17">
        <v>25</v>
      </c>
      <c r="F123" s="17">
        <v>22</v>
      </c>
      <c r="G123" s="10"/>
      <c r="H123" s="10"/>
      <c r="I123" s="10"/>
      <c r="J123" s="11"/>
    </row>
    <row r="124" spans="1:10" x14ac:dyDescent="0.4">
      <c r="A124" s="6"/>
      <c r="B124" s="15"/>
      <c r="C124" s="19" t="s">
        <v>45</v>
      </c>
      <c r="D124" s="10"/>
      <c r="E124" s="10"/>
      <c r="F124" s="10"/>
      <c r="G124" s="10"/>
      <c r="H124" s="15"/>
      <c r="I124" s="15"/>
      <c r="J124" s="11"/>
    </row>
    <row r="125" spans="1:10" x14ac:dyDescent="0.4">
      <c r="A125" s="6"/>
      <c r="B125" s="15" t="s">
        <v>10</v>
      </c>
      <c r="C125" s="1" t="str">
        <f ca="1">IF(Intro!J3=Intro!J2-1,IF(_xlfn.DAYS(Intro!$J$4,TODAY())&lt;0,"Error!",IFERROR(ABS(ROUND(Note!AB121, 'Back-End'!E7)),"ERROR")),"Run the macro!")</f>
        <v>Run the macro!</v>
      </c>
      <c r="D125" s="10"/>
      <c r="E125" s="10"/>
      <c r="F125" s="10"/>
      <c r="G125" s="10"/>
      <c r="H125" s="15"/>
      <c r="I125" s="15"/>
      <c r="J125" s="11"/>
    </row>
    <row r="126" spans="1:10" x14ac:dyDescent="0.4">
      <c r="A126" s="6"/>
      <c r="B126" s="10"/>
      <c r="C126" s="10"/>
      <c r="D126" s="10"/>
      <c r="E126" s="10"/>
      <c r="F126" s="10"/>
      <c r="G126" s="10"/>
      <c r="H126" s="11"/>
      <c r="I126" s="11"/>
      <c r="J126" s="20" t="str">
        <f>IF($J$2="REF","Cochrane Handbook p. 175", "")</f>
        <v/>
      </c>
    </row>
    <row r="127" spans="1:10" x14ac:dyDescent="0.4">
      <c r="A127" s="6"/>
      <c r="B127" s="7"/>
      <c r="C127" s="7"/>
      <c r="D127" s="7"/>
      <c r="E127" s="7"/>
      <c r="F127" s="7"/>
      <c r="G127" s="7"/>
      <c r="H127" s="7"/>
      <c r="I127" s="7"/>
    </row>
    <row r="128" spans="1:10" x14ac:dyDescent="0.4">
      <c r="A128" s="6"/>
      <c r="B128" s="10"/>
      <c r="C128" s="10"/>
      <c r="D128" s="10"/>
      <c r="E128" s="10"/>
      <c r="F128" s="10"/>
      <c r="G128" s="10"/>
      <c r="H128" s="13"/>
      <c r="I128" s="13"/>
      <c r="J128" s="11"/>
    </row>
    <row r="129" spans="1:26" x14ac:dyDescent="0.4">
      <c r="A129" s="6"/>
      <c r="B129" s="12" t="s">
        <v>143</v>
      </c>
      <c r="C129" s="10"/>
      <c r="D129" s="10"/>
      <c r="E129" s="10"/>
      <c r="F129" s="10"/>
      <c r="G129" s="10"/>
      <c r="H129" s="10"/>
      <c r="I129" s="10"/>
      <c r="J129" s="11"/>
    </row>
    <row r="130" spans="1:26" x14ac:dyDescent="0.4">
      <c r="A130" s="6"/>
      <c r="B130" s="12"/>
      <c r="C130" s="10"/>
      <c r="D130" s="10"/>
      <c r="E130" s="10"/>
      <c r="F130" s="10"/>
      <c r="G130" s="10"/>
      <c r="H130" s="10"/>
      <c r="I130" s="10"/>
      <c r="J130" s="11"/>
    </row>
    <row r="131" spans="1:26" x14ac:dyDescent="0.4">
      <c r="A131" s="6"/>
      <c r="B131" s="10"/>
      <c r="C131" s="14" t="s">
        <v>74</v>
      </c>
      <c r="D131" s="14" t="s">
        <v>36</v>
      </c>
      <c r="E131" s="14" t="s">
        <v>18</v>
      </c>
      <c r="F131" s="14" t="s">
        <v>51</v>
      </c>
      <c r="G131" s="14" t="s">
        <v>54</v>
      </c>
      <c r="H131" s="10"/>
      <c r="I131" s="10"/>
      <c r="J131" s="11"/>
    </row>
    <row r="132" spans="1:26" x14ac:dyDescent="0.4">
      <c r="A132" s="6"/>
      <c r="B132" s="15" t="s">
        <v>9</v>
      </c>
      <c r="C132" s="17" t="s">
        <v>75</v>
      </c>
      <c r="D132" s="16">
        <v>3.8</v>
      </c>
      <c r="E132" s="17">
        <v>8.0000000000000002E-3</v>
      </c>
      <c r="F132" s="17">
        <v>25</v>
      </c>
      <c r="G132" s="17">
        <v>22</v>
      </c>
      <c r="H132" s="10"/>
      <c r="I132" s="10"/>
      <c r="J132" s="11"/>
    </row>
    <row r="133" spans="1:26" x14ac:dyDescent="0.4">
      <c r="A133" s="6"/>
      <c r="B133" s="15"/>
      <c r="C133" s="19" t="s">
        <v>45</v>
      </c>
      <c r="D133" s="11"/>
      <c r="E133" s="11"/>
      <c r="F133" s="11"/>
      <c r="G133" s="11"/>
      <c r="H133" s="15"/>
      <c r="I133" s="15"/>
      <c r="J133" s="11"/>
    </row>
    <row r="134" spans="1:26" x14ac:dyDescent="0.4">
      <c r="A134" s="6"/>
      <c r="B134" s="15" t="s">
        <v>10</v>
      </c>
      <c r="C134" s="1" t="str">
        <f ca="1">IF(Intro!J3=Intro!J2-1,IF(_xlfn.DAYS(Intro!$J$4,TODAY())&lt;0,"Error!",IFERROR(ROUND(Note!AB112, 'Back-End'!E7),"ERROR")),"Run the macro!")</f>
        <v>Run the macro!</v>
      </c>
      <c r="D134" s="11"/>
      <c r="E134" s="11"/>
      <c r="F134" s="11"/>
      <c r="G134" s="11"/>
      <c r="H134" s="15"/>
      <c r="I134" s="15"/>
      <c r="J134" s="11"/>
    </row>
    <row r="135" spans="1:26" x14ac:dyDescent="0.4">
      <c r="A135" s="6"/>
      <c r="B135" s="10"/>
      <c r="C135" s="10"/>
      <c r="D135" s="10"/>
      <c r="E135" s="10"/>
      <c r="F135" s="10"/>
      <c r="G135" s="10"/>
      <c r="H135" s="11"/>
      <c r="I135" s="11"/>
      <c r="J135" s="20" t="str">
        <f>IF(J2="REF","Cochrane Handbook p. 175 &amp; 182", "")</f>
        <v/>
      </c>
    </row>
    <row r="136" spans="1:26" x14ac:dyDescent="0.4">
      <c r="A136" s="6"/>
      <c r="B136" s="7"/>
      <c r="C136" s="7"/>
      <c r="D136" s="7"/>
      <c r="E136" s="7"/>
      <c r="F136" s="7"/>
      <c r="G136" s="7"/>
      <c r="H136" s="7"/>
      <c r="I136" s="7"/>
    </row>
    <row r="137" spans="1:26" hidden="1" x14ac:dyDescent="0.4">
      <c r="L137" s="38"/>
      <c r="M137" s="38"/>
      <c r="N137" s="38"/>
      <c r="O137" s="38"/>
      <c r="S137" s="38"/>
      <c r="T137" s="38"/>
      <c r="U137" s="38"/>
      <c r="V137" s="38"/>
      <c r="W137" s="38"/>
      <c r="X137" s="38"/>
      <c r="Y137" s="38"/>
      <c r="Z137" s="39"/>
    </row>
    <row r="138" spans="1:26" hidden="1" x14ac:dyDescent="0.4">
      <c r="L138" s="38"/>
      <c r="M138" s="38"/>
      <c r="N138" s="38"/>
      <c r="O138" s="38"/>
      <c r="S138" s="38"/>
      <c r="T138" s="38"/>
      <c r="U138" s="38"/>
      <c r="V138" s="38"/>
      <c r="W138" s="38"/>
      <c r="X138" s="38"/>
      <c r="Y138" s="38"/>
      <c r="Z138" s="39"/>
    </row>
    <row r="139" spans="1:26" hidden="1" x14ac:dyDescent="0.4">
      <c r="L139" s="38"/>
      <c r="M139" s="38"/>
      <c r="N139" s="38"/>
      <c r="O139" s="38"/>
      <c r="S139" s="38"/>
      <c r="T139" s="38"/>
      <c r="U139" s="38"/>
      <c r="V139" s="38"/>
      <c r="W139" s="38"/>
      <c r="X139" s="38"/>
      <c r="Y139" s="38"/>
      <c r="Z139" s="39"/>
    </row>
    <row r="140" spans="1:26" hidden="1" x14ac:dyDescent="0.4">
      <c r="L140" s="38"/>
      <c r="M140" s="38"/>
      <c r="N140" s="38"/>
      <c r="O140" s="38"/>
      <c r="S140" s="38"/>
      <c r="T140" s="38"/>
      <c r="U140" s="38"/>
      <c r="V140" s="38"/>
      <c r="W140" s="38"/>
      <c r="X140" s="38"/>
      <c r="Y140" s="38"/>
      <c r="Z140" s="39"/>
    </row>
    <row r="141" spans="1:26" hidden="1" x14ac:dyDescent="0.4">
      <c r="L141" s="38"/>
      <c r="M141" s="38"/>
      <c r="N141" s="38"/>
      <c r="O141" s="38"/>
      <c r="S141" s="38"/>
      <c r="T141" s="38"/>
      <c r="U141" s="38"/>
      <c r="V141" s="38"/>
      <c r="W141" s="38"/>
      <c r="X141" s="38"/>
      <c r="Y141" s="38"/>
      <c r="Z141" s="39"/>
    </row>
    <row r="142" spans="1:26" hidden="1" x14ac:dyDescent="0.4">
      <c r="L142" s="38"/>
      <c r="M142" s="38"/>
      <c r="N142" s="38"/>
      <c r="O142" s="38"/>
      <c r="S142" s="38"/>
      <c r="T142" s="38"/>
      <c r="U142" s="38"/>
      <c r="V142" s="38"/>
      <c r="W142" s="38"/>
      <c r="X142" s="38"/>
      <c r="Y142" s="38"/>
      <c r="Z142" s="39"/>
    </row>
    <row r="143" spans="1:26" hidden="1" x14ac:dyDescent="0.4">
      <c r="L143" s="38"/>
      <c r="M143" s="38"/>
      <c r="N143" s="38"/>
      <c r="O143" s="38"/>
      <c r="S143" s="38"/>
      <c r="T143" s="38"/>
      <c r="U143" s="38"/>
      <c r="V143" s="38"/>
      <c r="W143" s="38"/>
      <c r="X143" s="38"/>
      <c r="Y143" s="38"/>
      <c r="Z143" s="39"/>
    </row>
    <row r="144" spans="1:26" hidden="1" x14ac:dyDescent="0.4">
      <c r="L144" s="38"/>
      <c r="M144" s="38"/>
      <c r="N144" s="38"/>
      <c r="O144" s="38"/>
      <c r="S144" s="38"/>
      <c r="T144" s="38"/>
      <c r="U144" s="38"/>
      <c r="V144" s="38"/>
      <c r="W144" s="38"/>
      <c r="X144" s="38"/>
      <c r="Y144" s="38"/>
      <c r="Z144" s="39"/>
    </row>
    <row r="145" spans="12:26" hidden="1" x14ac:dyDescent="0.4">
      <c r="L145" s="38"/>
      <c r="M145" s="38"/>
      <c r="N145" s="38"/>
      <c r="O145" s="38"/>
      <c r="S145" s="38"/>
      <c r="T145" s="38"/>
      <c r="U145" s="38"/>
      <c r="V145" s="38"/>
      <c r="W145" s="38"/>
      <c r="X145" s="38"/>
      <c r="Y145" s="38"/>
      <c r="Z145" s="39"/>
    </row>
    <row r="146" spans="12:26" hidden="1" x14ac:dyDescent="0.4">
      <c r="L146" s="38" t="s">
        <v>0</v>
      </c>
      <c r="M146" s="38" t="s">
        <v>1</v>
      </c>
      <c r="N146" s="38"/>
      <c r="O146" s="38"/>
      <c r="S146" s="38"/>
      <c r="T146" s="38"/>
      <c r="U146" s="38"/>
      <c r="V146" s="38"/>
      <c r="W146" s="38"/>
      <c r="X146" s="38"/>
      <c r="Y146" s="38"/>
      <c r="Z146" s="39"/>
    </row>
    <row r="147" spans="12:26" hidden="1" x14ac:dyDescent="0.4">
      <c r="L147" s="38" t="e">
        <f>(DECoMA!#REF!/ABS(NORMSINV(DECoMA!#REF!/2)))/SQRT((1/DECoMA!#REF!)+(1/DECoMA!#REF!))</f>
        <v>#REF!</v>
      </c>
      <c r="M147" s="38" t="e">
        <f>DECoMA!#REF!/ABS(NORMSINV(DECoMA!#REF!/2))</f>
        <v>#REF!</v>
      </c>
      <c r="N147" s="38"/>
      <c r="O147" s="38" t="s">
        <v>27</v>
      </c>
      <c r="S147" s="38"/>
      <c r="T147" s="38"/>
      <c r="U147" s="38"/>
      <c r="V147" s="38"/>
      <c r="W147" s="38"/>
      <c r="X147" s="38"/>
      <c r="Y147" s="38"/>
      <c r="Z147" s="39"/>
    </row>
    <row r="148" spans="12:26" hidden="1" x14ac:dyDescent="0.4">
      <c r="L148" s="38"/>
      <c r="M148" s="38"/>
      <c r="N148" s="38"/>
      <c r="O148" s="38"/>
    </row>
    <row r="149" spans="12:26" hidden="1" x14ac:dyDescent="0.4">
      <c r="L149" s="38"/>
      <c r="M149" s="38"/>
      <c r="N149" s="38"/>
      <c r="O149" s="38"/>
    </row>
    <row r="150" spans="12:26" hidden="1" x14ac:dyDescent="0.4">
      <c r="L150" s="38"/>
      <c r="M150" s="38"/>
      <c r="N150" s="38"/>
      <c r="O150" s="38"/>
    </row>
    <row r="151" spans="12:26" hidden="1" x14ac:dyDescent="0.4">
      <c r="L151" s="38"/>
      <c r="M151" s="38"/>
      <c r="N151" s="38"/>
      <c r="O151" s="38"/>
    </row>
    <row r="152" spans="12:26" hidden="1" x14ac:dyDescent="0.4">
      <c r="L152" s="38"/>
      <c r="M152" s="38"/>
      <c r="N152" s="38"/>
      <c r="O152" s="38"/>
    </row>
    <row r="153" spans="12:26" hidden="1" x14ac:dyDescent="0.4">
      <c r="L153" s="38"/>
      <c r="M153" s="38"/>
      <c r="N153" s="38"/>
      <c r="O153" s="38"/>
    </row>
    <row r="154" spans="12:26" hidden="1" x14ac:dyDescent="0.4">
      <c r="L154" s="38"/>
      <c r="M154" s="38"/>
      <c r="N154" s="38"/>
      <c r="O154" s="38"/>
    </row>
    <row r="155" spans="12:26" hidden="1" x14ac:dyDescent="0.4">
      <c r="L155" s="38"/>
      <c r="M155" s="38"/>
      <c r="N155" s="38"/>
      <c r="O155" s="38"/>
    </row>
    <row r="156" spans="12:26" hidden="1" x14ac:dyDescent="0.4">
      <c r="L156" s="38" t="s">
        <v>0</v>
      </c>
      <c r="M156" s="38" t="s">
        <v>1</v>
      </c>
      <c r="N156" s="38"/>
      <c r="O156" s="38"/>
    </row>
    <row r="157" spans="12:26" hidden="1" x14ac:dyDescent="0.4">
      <c r="L157" s="38">
        <f>IFERROR(IF(DECoMA!#REF!=1,M157*SQRT(DECoMA!#REF!),M157/SQRT(((1/DECoMA!#REF!)+(1/DECoMA!#REF!)))), -1)</f>
        <v>-1</v>
      </c>
      <c r="M157" s="38" t="e">
        <f>IF(DECoMA!#REF!="","",IF(DECoMA!#REF!&lt;60,IF(DECoMA!#REF!=1,((DECoMA!#REF!-DECoMA!#REF!)/(TINV(1-DECoMA!#REF!,DECoMA!#REF!-DECoMA!#REF!)*2)),((DECoMA!#REF!-DECoMA!#REF!)/(TINV(1-DECoMA!#REF!,DECoMA!#REF!-DECoMA!#REF!)*2))),IF(DECoMA!#REF!=1,IF(DECoMA!#REF!&lt;100,((DECoMA!#REF!-DECoMA!#REF!)/(TINV(1-DECoMA!#REF!,DECoMA!#REF!-DECoMA!#REF!)*2)),IF(DECoMA!#REF!=0.9,((DECoMA!#REF!-DECoMA!#REF!)/Note!AJ260),IF(DECoMA!#REF!=0.95,((DECoMA!#REF!-DECoMA!#REF!)/Note!AK260),((DECoMA!#REF!-DECoMA!#REF!)/Note!AL260)))),IF(DECoMA!#REF!=2,IF(DECoMA!#REF!&lt;60,((DECoMA!#REF!-DECoMA!#REF!)/(TINV(1-DECoMA!#REF!,DECoMA!#REF!-DECoMA!#REF!)*2)),IF(DECoMA!#REF!=0.9,((DECoMA!#REF!-DECoMA!#REF!)/Note!AJ260),IF(DECoMA!#REF!=0.95,((DECoMA!#REF!-DECoMA!#REF!)/Note!AK260),((DECoMA!#REF!-DECoMA!#REF!)/Note!AL260)))),""))))</f>
        <v>#REF!</v>
      </c>
      <c r="N157" s="38"/>
      <c r="O157" s="38" t="s">
        <v>24</v>
      </c>
    </row>
    <row r="158" spans="12:26" hidden="1" x14ac:dyDescent="0.4">
      <c r="L158" s="38" t="e">
        <f>IF(DECoMA!#REF!="","",IF(DECoMA!#REF!=1,IF(DECoMA!#REF!&gt;100, IF(DECoMA!#REF!=0.9,((DECoMA!#REF!-DECoMA!#REF!)/Note!AJ260), IF(DECoMA!#REF!=0.95,((DECoMA!#REF!-DECoMA!#REF!)/Note!AK260), ((DECoMA!#REF!-DECoMA!#REF!)/Note!AL260)))*(SQRT(DECoMA!#REF!)), IF(DECoMA!#REF!="","",((DECoMA!#REF!-DECoMA!#REF!)/(TINV(1-DECoMA!#REF!,DECoMA!#REF!-DECoMA!#REF!)*2))*(SQRT(DECoMA!#REF!)))),IF(DECoMA!#REF!/2&gt;60, IF(DECoMA!#REF!=0.9,((DECoMA!#REF!-DECoMA!#REF!)/Note!AJ260), IF(DECoMA!#REF!=0.95,((DECoMA!#REF!-DECoMA!#REF!)/Note!AK260), ((DECoMA!#REF!-DECoMA!#REF!)/Note!AL260)))*(SQRT(DECoMA!#REF!)), IF(DECoMA!#REF!="","",((DECoMA!#REF!-DECoMA!#REF!)/(TINV(1-DECoMA!#REF!,DECoMA!#REF!-DECoMA!#REF!)*2))*(SQRT(DECoMA!#REF!))))))</f>
        <v>#REF!</v>
      </c>
      <c r="M158" s="38" t="e">
        <f>IF(DECoMA!#REF!="","",IF(DECoMA!#REF!=1,IF(DECoMA!#REF!&gt;100, IF(DECoMA!#REF!=0.9,((DECoMA!#REF!-DECoMA!#REF!)/Note!AJ260), IF(DECoMA!#REF!=0.95,((DECoMA!#REF!-DECoMA!#REF!)/Note!AK260), ((DECoMA!#REF!-DECoMA!#REF!)/Note!AL260))), IF(DECoMA!#REF!="","",((DECoMA!#REF!-DECoMA!#REF!)/(TINV(1-DECoMA!#REF!,DECoMA!#REF!-DECoMA!#REF!)*2)))), IF(DECoMA!#REF!/2&gt;100, IF(DECoMA!#REF!=0.9,((DECoMA!#REF!-DECoMA!#REF!)/Note!AJ260), IF(DECoMA!#REF!=0.95,((DECoMA!#REF!-DECoMA!#REF!)/Note!AK260), ((DECoMA!#REF!-DECoMA!#REF!)/Note!AL260))), IF(DECoMA!#REF!="","",((DECoMA!#REF!-DECoMA!#REF!)/(TINV(1-DECoMA!#REF!,DECoMA!#REF!-DECoMA!#REF!)*2))))))</f>
        <v>#REF!</v>
      </c>
      <c r="N158" s="38"/>
      <c r="O158" s="38"/>
    </row>
    <row r="159" spans="12:26" hidden="1" x14ac:dyDescent="0.4">
      <c r="L159" s="38"/>
      <c r="M159" s="38"/>
      <c r="N159" s="38"/>
      <c r="O159" s="38"/>
    </row>
  </sheetData>
  <sheetProtection algorithmName="SHA-512" hashValue="gF8l6jUcsNq5+onR9Sdb8kjChNyth8+h4S3Z2xSVflb1aATJVrSvZo1QP+z4Ufh1aSjW9J6qerRuxIcHYmQ1Kg==" saltValue="xCiXcsuXSgGlOW1V+QsGZQ==" spinCount="100000" sheet="1" objects="1" scenarios="1"/>
  <protectedRanges>
    <protectedRange algorithmName="SHA-512" hashValue="aNc6kQe2iQxoZvwS7qbkI/d2dLeyLFaCw98btqsSSmWRaUqdcXqXqMAo+q92e3yYaMn5gRwvj8k2b5YVWrdqbA==" saltValue="zeI+Snxk22O5Eb1aqNefdA==" spinCount="100000" sqref="H28 H36 H46 C44:H44 H52 H60 F132:G132 C60:E60 E114:F114 E123:F123 D96:E96 C132 C52:E52 C36:F36 C28:F28 C17:F17 C105:G105 G107 H17 B2:C2" name="SD for CI 1"/>
  </protectedRanges>
  <mergeCells count="1">
    <mergeCell ref="C1:I1"/>
  </mergeCells>
  <phoneticPr fontId="1" type="noConversion"/>
  <dataValidations count="12">
    <dataValidation type="decimal" allowBlank="1" showInputMessage="1" showErrorMessage="1" sqref="D60 H36 F69 D132 C69 H52 C28 H46 C114:D114 C123:D123 C36 C44 H28 D52 H60 C105 C17" xr:uid="{7B59036B-E1AF-4A77-95E8-B7A8E8A9C9AB}">
      <formula1>-1E+29</formula1>
      <formula2>1E+29</formula2>
    </dataValidation>
    <dataValidation type="list" allowBlank="1" showInputMessage="1" showErrorMessage="1" sqref="E88" xr:uid="{A01514D0-7855-40FC-B467-8374F4E6486D}">
      <formula1>"Single, Groups"</formula1>
    </dataValidation>
    <dataValidation type="list" allowBlank="1" showInputMessage="1" showErrorMessage="1" sqref="E17 E105" xr:uid="{268AEB6C-28E0-416A-9943-5DD346421C05}">
      <formula1>"0.90, 0.95, 0.99"</formula1>
    </dataValidation>
    <dataValidation type="decimal" operator="greaterThanOrEqual" allowBlank="1" showInputMessage="1" showErrorMessage="1" sqref="D17 D28:E28 D36:E36 D44:G44 D105" xr:uid="{B6E41CF5-0577-44FD-8F73-BCF37B68A240}">
      <formula1>C17</formula1>
    </dataValidation>
    <dataValidation type="decimal" operator="greaterThan" allowBlank="1" showInputMessage="1" showErrorMessage="1" sqref="E132 D69 G69 C88:D88 C84:E84 C80:E80 C96 G80:I80" xr:uid="{06768BF4-901F-4901-975C-6D3124DF41C1}">
      <formula1>0</formula1>
    </dataValidation>
    <dataValidation type="decimal" operator="greaterThanOrEqual" allowBlank="1" showInputMessage="1" showErrorMessage="1" sqref="C52 C8 C60" xr:uid="{2E27586D-06C8-4906-B589-FC8793E56196}">
      <formula1>0</formula1>
    </dataValidation>
    <dataValidation type="whole" operator="greaterThanOrEqual" allowBlank="1" showInputMessage="1" showErrorMessage="1" sqref="F132:G132 E114:F114 E123:F123 F105:G105 D8 E69 E60 E52 D96:E96 F36 F28 F17 H44 H69" xr:uid="{AC90BD2B-FDAF-4856-9C3B-FB3E54DADF6C}">
      <formula1>0</formula1>
    </dataValidation>
    <dataValidation type="list" operator="greaterThanOrEqual" allowBlank="1" showInputMessage="1" showErrorMessage="1" sqref="H71" xr:uid="{09B16B75-4809-4C79-85CA-8907CE29F5A5}">
      <formula1>"Cohen, Cochrane"</formula1>
    </dataValidation>
    <dataValidation type="list" allowBlank="1" showInputMessage="1" showErrorMessage="1" sqref="C132" xr:uid="{394EB357-35D8-4555-826B-935C6B9F8D5E}">
      <formula1>"MD, SMD, RD"</formula1>
    </dataValidation>
    <dataValidation type="list" allowBlank="1" showInputMessage="1" showErrorMessage="1" sqref="G107 H17" xr:uid="{21D7422B-D637-42F7-B50E-02242B68F4F7}">
      <formula1>"t, z"</formula1>
    </dataValidation>
    <dataValidation operator="greaterThanOrEqual" allowBlank="1" showInputMessage="1" showErrorMessage="1" sqref="B2:C90" xr:uid="{DBB85192-7B3E-4960-AAB3-5AAC7E548EF0}"/>
    <dataValidation type="decimal" allowBlank="1" showInputMessage="1" showErrorMessage="1" sqref="I84" xr:uid="{5BE8E29F-8D13-46B2-9F8F-5B6528431C9D}">
      <formula1>-1</formula1>
      <formula2>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B3BB9-DA8B-4A0C-A1E3-4C145BE550E8}">
  <sheetPr codeName="工作表3"/>
  <dimension ref="A1:AP262"/>
  <sheetViews>
    <sheetView zoomScaleNormal="100" workbookViewId="0">
      <pane xSplit="13" ySplit="2" topLeftCell="N3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ColWidth="0" defaultRowHeight="15.5" zeroHeight="1" x14ac:dyDescent="0.4"/>
  <cols>
    <col min="1" max="1" width="3.36328125" style="32" customWidth="1"/>
    <col min="2" max="2" width="8.81640625" style="32" customWidth="1"/>
    <col min="3" max="3" width="12.1796875" style="32" customWidth="1"/>
    <col min="4" max="4" width="21.81640625" style="32" customWidth="1"/>
    <col min="5" max="10" width="13.08984375" style="32" customWidth="1"/>
    <col min="11" max="11" width="15.54296875" style="32" customWidth="1"/>
    <col min="12" max="12" width="23.54296875" style="32" customWidth="1"/>
    <col min="13" max="13" width="4" style="37" customWidth="1"/>
    <col min="14" max="16384" width="5.81640625" style="34" hidden="1"/>
  </cols>
  <sheetData>
    <row r="1" spans="2:4" ht="20.5" x14ac:dyDescent="0.4">
      <c r="B1" s="40" t="s">
        <v>77</v>
      </c>
    </row>
    <row r="2" spans="2:4" ht="17" customHeight="1" x14ac:dyDescent="0.4">
      <c r="B2" s="27" t="s">
        <v>77</v>
      </c>
    </row>
    <row r="3" spans="2:4" x14ac:dyDescent="0.4">
      <c r="B3" s="28" t="s">
        <v>92</v>
      </c>
    </row>
    <row r="4" spans="2:4" x14ac:dyDescent="0.4"/>
    <row r="5" spans="2:4" x14ac:dyDescent="0.4">
      <c r="B5" s="32">
        <v>1</v>
      </c>
      <c r="C5" s="32" t="s">
        <v>94</v>
      </c>
    </row>
    <row r="6" spans="2:4" x14ac:dyDescent="0.4">
      <c r="C6" s="32" t="s">
        <v>93</v>
      </c>
    </row>
    <row r="7" spans="2:4" x14ac:dyDescent="0.4"/>
    <row r="8" spans="2:4" x14ac:dyDescent="0.4">
      <c r="B8" s="32">
        <v>2</v>
      </c>
      <c r="C8" s="32" t="s">
        <v>97</v>
      </c>
    </row>
    <row r="9" spans="2:4" x14ac:dyDescent="0.4">
      <c r="C9" s="32" t="s">
        <v>98</v>
      </c>
    </row>
    <row r="10" spans="2:4" x14ac:dyDescent="0.4"/>
    <row r="11" spans="2:4" x14ac:dyDescent="0.4">
      <c r="B11" s="32">
        <v>3</v>
      </c>
      <c r="C11" s="32" t="s">
        <v>95</v>
      </c>
    </row>
    <row r="12" spans="2:4" x14ac:dyDescent="0.4">
      <c r="C12" s="32" t="s">
        <v>96</v>
      </c>
    </row>
    <row r="13" spans="2:4" x14ac:dyDescent="0.4">
      <c r="B13" s="28"/>
    </row>
    <row r="14" spans="2:4" x14ac:dyDescent="0.4">
      <c r="D14" s="41"/>
    </row>
    <row r="15" spans="2:4" x14ac:dyDescent="0.4">
      <c r="B15" s="28" t="s">
        <v>109</v>
      </c>
      <c r="D15" s="41"/>
    </row>
    <row r="16" spans="2:4" x14ac:dyDescent="0.4">
      <c r="B16" s="29" t="s">
        <v>110</v>
      </c>
      <c r="C16" s="32" t="s">
        <v>111</v>
      </c>
      <c r="D16" s="41"/>
    </row>
    <row r="17" spans="2:4" x14ac:dyDescent="0.4">
      <c r="B17" s="29" t="s">
        <v>112</v>
      </c>
      <c r="C17" s="32" t="s">
        <v>113</v>
      </c>
      <c r="D17" s="41"/>
    </row>
    <row r="18" spans="2:4" x14ac:dyDescent="0.4">
      <c r="B18" s="29" t="s">
        <v>114</v>
      </c>
      <c r="C18" s="32" t="s">
        <v>115</v>
      </c>
      <c r="D18" s="41"/>
    </row>
    <row r="19" spans="2:4" x14ac:dyDescent="0.4">
      <c r="B19" s="29" t="s">
        <v>116</v>
      </c>
      <c r="C19" s="32" t="s">
        <v>117</v>
      </c>
      <c r="D19" s="41"/>
    </row>
    <row r="20" spans="2:4" x14ac:dyDescent="0.4">
      <c r="B20" s="29" t="s">
        <v>118</v>
      </c>
      <c r="C20" s="32" t="s">
        <v>119</v>
      </c>
      <c r="D20" s="41"/>
    </row>
    <row r="21" spans="2:4" x14ac:dyDescent="0.4">
      <c r="B21" s="29" t="s">
        <v>120</v>
      </c>
      <c r="C21" s="32" t="s">
        <v>121</v>
      </c>
      <c r="D21" s="41"/>
    </row>
    <row r="22" spans="2:4" x14ac:dyDescent="0.4">
      <c r="B22" s="29"/>
      <c r="D22" s="42"/>
    </row>
    <row r="23" spans="2:4" x14ac:dyDescent="0.4">
      <c r="B23" s="29"/>
      <c r="D23" s="41"/>
    </row>
    <row r="24" spans="2:4" x14ac:dyDescent="0.4">
      <c r="B24" s="29"/>
      <c r="D24" s="41"/>
    </row>
    <row r="25" spans="2:4" x14ac:dyDescent="0.4">
      <c r="B25" s="29"/>
    </row>
    <row r="26" spans="2:4" x14ac:dyDescent="0.4">
      <c r="B26" s="29"/>
    </row>
    <row r="27" spans="2:4" x14ac:dyDescent="0.4">
      <c r="B27" s="29"/>
    </row>
    <row r="28" spans="2:4" x14ac:dyDescent="0.4">
      <c r="B28" s="29"/>
    </row>
    <row r="29" spans="2:4" x14ac:dyDescent="0.4">
      <c r="B29" s="29"/>
    </row>
    <row r="30" spans="2:4" x14ac:dyDescent="0.4">
      <c r="B30" s="29"/>
    </row>
    <row r="31" spans="2:4" hidden="1" x14ac:dyDescent="0.4">
      <c r="B31" s="29"/>
    </row>
    <row r="32" spans="2:4" hidden="1" x14ac:dyDescent="0.4">
      <c r="B32" s="29"/>
    </row>
    <row r="33" spans="2:2" hidden="1" x14ac:dyDescent="0.4">
      <c r="B33" s="29"/>
    </row>
    <row r="111" spans="28:42" hidden="1" x14ac:dyDescent="0.4">
      <c r="AB111" s="58" t="s">
        <v>0</v>
      </c>
      <c r="AC111" s="58" t="s">
        <v>1</v>
      </c>
      <c r="AD111" s="58"/>
      <c r="AE111" s="58"/>
      <c r="AF111" s="59"/>
      <c r="AG111" s="59"/>
      <c r="AH111" s="59"/>
      <c r="AI111" s="58"/>
      <c r="AJ111" s="58"/>
      <c r="AK111" s="58"/>
      <c r="AL111" s="58"/>
      <c r="AM111" s="58"/>
      <c r="AN111" s="58"/>
      <c r="AO111" s="58"/>
      <c r="AP111" s="60"/>
    </row>
    <row r="112" spans="28:42" hidden="1" x14ac:dyDescent="0.4">
      <c r="AB112" s="58">
        <f>IF(COUNTBLANK(DECoMA!C132:'DECoMA'!G132)&gt;0,"",ROUND(IF(DECoMA!C132="MD",ABS(DECoMA!D132)/TINV(DECoMA!E132,DECoMA!F132+DECoMA!G132-2),ABS(DECoMA!D132)/ABS(NORMSINV(DECoMA!E132/2))),2)/SQRT((1/DECoMA!F132)+(1/DECoMA!G132)))</f>
        <v>4.6865470662584112</v>
      </c>
      <c r="AC112" s="58">
        <f>IF(COUNTBLANK(DECoMA!C132:'DECoMA'!G132)&gt;0,"",IF(DECoMA!C132="MD",ABS(DECoMA!D132)/TINV(DECoMA!E132,DECoMA!F132+DECoMA!G132-2),ABS(DECoMA!D132)/ABS(NORMSINV(DECoMA!E132/2))))</f>
        <v>1.36910030070529</v>
      </c>
      <c r="AD112" s="58"/>
      <c r="AE112" s="58" t="s">
        <v>76</v>
      </c>
      <c r="AF112" s="59"/>
      <c r="AG112" s="59"/>
      <c r="AH112" s="59"/>
      <c r="AI112" s="58"/>
      <c r="AJ112" s="58"/>
      <c r="AK112" s="58"/>
      <c r="AL112" s="58"/>
      <c r="AM112" s="58"/>
      <c r="AN112" s="58"/>
      <c r="AO112" s="58"/>
      <c r="AP112" s="60"/>
    </row>
    <row r="113" spans="28:42" hidden="1" x14ac:dyDescent="0.4">
      <c r="AB113" s="58" t="s">
        <v>69</v>
      </c>
      <c r="AC113" s="58"/>
      <c r="AD113" s="58"/>
      <c r="AE113" s="58"/>
      <c r="AF113" s="59"/>
      <c r="AG113" s="59"/>
      <c r="AH113" s="59"/>
      <c r="AI113" s="58"/>
      <c r="AJ113" s="58"/>
      <c r="AK113" s="58"/>
      <c r="AL113" s="58"/>
      <c r="AM113" s="58"/>
      <c r="AN113" s="58"/>
      <c r="AO113" s="58"/>
      <c r="AP113" s="60"/>
    </row>
    <row r="114" spans="28:42" hidden="1" x14ac:dyDescent="0.4">
      <c r="AB114" s="58">
        <f>IF(DECoMA!C132="MD",ABS(DECoMA!D132)/TINV(DECoMA!E132,DECoMA!F132+DECoMA!G132-2),ABS(DECoMA!D132)/ABS(NORMSINV(DECoMA!E132/2)))*SQRT(DECoMA!F132+DECoMA!G132)/2</f>
        <v>4.6930393874703373</v>
      </c>
      <c r="AC114" s="58"/>
      <c r="AD114" s="58"/>
      <c r="AE114" s="58"/>
      <c r="AF114" s="59"/>
      <c r="AG114" s="59"/>
      <c r="AH114" s="59"/>
      <c r="AI114" s="58"/>
      <c r="AJ114" s="58"/>
      <c r="AK114" s="58"/>
      <c r="AL114" s="58"/>
      <c r="AM114" s="58"/>
      <c r="AN114" s="58"/>
      <c r="AO114" s="58"/>
      <c r="AP114" s="60"/>
    </row>
    <row r="115" spans="28:42" hidden="1" x14ac:dyDescent="0.4">
      <c r="AB115" s="58"/>
      <c r="AC115" s="58"/>
      <c r="AD115" s="58"/>
      <c r="AE115" s="58"/>
      <c r="AF115" s="59"/>
      <c r="AG115" s="59"/>
      <c r="AH115" s="59"/>
      <c r="AI115" s="58"/>
      <c r="AJ115" s="58"/>
      <c r="AK115" s="58"/>
      <c r="AL115" s="58"/>
      <c r="AM115" s="58"/>
      <c r="AN115" s="58"/>
      <c r="AO115" s="58"/>
      <c r="AP115" s="60"/>
    </row>
    <row r="116" spans="28:42" hidden="1" x14ac:dyDescent="0.4">
      <c r="AB116" s="58"/>
      <c r="AC116" s="58"/>
      <c r="AD116" s="58"/>
      <c r="AE116" s="58"/>
      <c r="AF116" s="59"/>
      <c r="AG116" s="59"/>
      <c r="AH116" s="59"/>
      <c r="AI116" s="58"/>
      <c r="AJ116" s="58"/>
      <c r="AK116" s="58"/>
      <c r="AL116" s="58"/>
      <c r="AM116" s="58"/>
      <c r="AN116" s="58"/>
      <c r="AO116" s="58"/>
      <c r="AP116" s="60"/>
    </row>
    <row r="117" spans="28:42" hidden="1" x14ac:dyDescent="0.4">
      <c r="AB117" s="58"/>
      <c r="AC117" s="58"/>
      <c r="AD117" s="58"/>
      <c r="AE117" s="58"/>
      <c r="AF117" s="59"/>
      <c r="AG117" s="59"/>
      <c r="AH117" s="59"/>
      <c r="AI117" s="58"/>
      <c r="AJ117" s="58"/>
      <c r="AK117" s="58"/>
      <c r="AL117" s="58"/>
      <c r="AM117" s="58"/>
      <c r="AN117" s="58"/>
      <c r="AO117" s="58"/>
      <c r="AP117" s="60"/>
    </row>
    <row r="118" spans="28:42" hidden="1" x14ac:dyDescent="0.4">
      <c r="AB118" s="58"/>
      <c r="AC118" s="58"/>
      <c r="AD118" s="58"/>
      <c r="AE118" s="58"/>
      <c r="AF118" s="59"/>
      <c r="AG118" s="59"/>
      <c r="AH118" s="59"/>
      <c r="AI118" s="58"/>
      <c r="AJ118" s="58"/>
      <c r="AK118" s="58"/>
      <c r="AL118" s="58"/>
      <c r="AM118" s="58"/>
      <c r="AN118" s="58"/>
      <c r="AO118" s="58"/>
      <c r="AP118" s="60"/>
    </row>
    <row r="119" spans="28:42" hidden="1" x14ac:dyDescent="0.4">
      <c r="AB119" s="58"/>
      <c r="AC119" s="58"/>
      <c r="AD119" s="58"/>
      <c r="AE119" s="58"/>
      <c r="AF119" s="59"/>
      <c r="AG119" s="59"/>
      <c r="AH119" s="59"/>
      <c r="AI119" s="58"/>
      <c r="AJ119" s="58"/>
      <c r="AK119" s="58"/>
      <c r="AL119" s="58"/>
      <c r="AM119" s="58"/>
      <c r="AN119" s="58"/>
      <c r="AO119" s="58"/>
      <c r="AP119" s="60"/>
    </row>
    <row r="120" spans="28:42" hidden="1" x14ac:dyDescent="0.4">
      <c r="AB120" s="58" t="s">
        <v>3</v>
      </c>
      <c r="AC120" s="58" t="s">
        <v>5</v>
      </c>
      <c r="AD120" s="58"/>
      <c r="AE120" s="58"/>
      <c r="AF120" s="59"/>
      <c r="AG120" s="59"/>
      <c r="AH120" s="59"/>
      <c r="AI120" s="58"/>
      <c r="AJ120" s="58"/>
      <c r="AK120" s="58"/>
      <c r="AL120" s="58"/>
      <c r="AM120" s="58"/>
      <c r="AN120" s="58"/>
      <c r="AO120" s="58"/>
      <c r="AP120" s="60"/>
    </row>
    <row r="121" spans="28:42" hidden="1" x14ac:dyDescent="0.4">
      <c r="AB121" s="58">
        <f>IF(COUNTBLANK(DECoMA!C123:'DECoMA'!F123)&gt;0,"",ABS(ROUND(DECoMA!C123/DECoMA!D123,2)/SQRT((1/DECoMA!E123)+(1/DECoMA!F123))))</f>
        <v>4.6865470662584112</v>
      </c>
      <c r="AC121" s="58">
        <f>IF(COUNTBLANK(DECoMA!C123:'DECoMA'!F123)&gt;0,"",ABS(DECoMA!C123/DECoMA!D123))</f>
        <v>1.3669064748201438</v>
      </c>
      <c r="AD121" s="58"/>
      <c r="AE121" s="58" t="s">
        <v>26</v>
      </c>
      <c r="AF121" s="59"/>
      <c r="AG121" s="59"/>
      <c r="AH121" s="59"/>
      <c r="AI121" s="58"/>
      <c r="AJ121" s="58"/>
      <c r="AK121" s="58"/>
      <c r="AL121" s="58"/>
      <c r="AM121" s="58"/>
      <c r="AN121" s="58"/>
      <c r="AO121" s="58"/>
      <c r="AP121" s="60"/>
    </row>
    <row r="122" spans="28:42" hidden="1" x14ac:dyDescent="0.4">
      <c r="AB122" s="58" t="s">
        <v>69</v>
      </c>
      <c r="AC122" s="58"/>
      <c r="AD122" s="58"/>
      <c r="AE122" s="58"/>
      <c r="AF122" s="59"/>
      <c r="AG122" s="59"/>
      <c r="AH122" s="59"/>
      <c r="AI122" s="58"/>
      <c r="AJ122" s="58"/>
      <c r="AK122" s="58"/>
      <c r="AL122" s="58"/>
      <c r="AM122" s="58"/>
      <c r="AN122" s="58"/>
      <c r="AO122" s="58"/>
      <c r="AP122" s="60"/>
    </row>
    <row r="123" spans="28:42" hidden="1" x14ac:dyDescent="0.4">
      <c r="AB123" s="58">
        <f>(ABS(DECoMA!C123)/DECoMA!D123)*(SQRT(DECoMA!E123+DECoMA!F123))/2</f>
        <v>4.6855193312093464</v>
      </c>
      <c r="AC123" s="58"/>
      <c r="AD123" s="58"/>
      <c r="AE123" s="58"/>
      <c r="AF123" s="59"/>
      <c r="AG123" s="59"/>
      <c r="AH123" s="59"/>
      <c r="AI123" s="58"/>
      <c r="AJ123" s="58"/>
      <c r="AK123" s="58"/>
      <c r="AL123" s="58"/>
      <c r="AM123" s="58"/>
      <c r="AN123" s="58"/>
      <c r="AO123" s="58"/>
      <c r="AP123" s="60"/>
    </row>
    <row r="124" spans="28:42" hidden="1" x14ac:dyDescent="0.4">
      <c r="AB124" s="58"/>
      <c r="AC124" s="58"/>
      <c r="AD124" s="58"/>
      <c r="AE124" s="58"/>
      <c r="AF124" s="59"/>
      <c r="AG124" s="59"/>
      <c r="AH124" s="59"/>
      <c r="AI124" s="58"/>
      <c r="AJ124" s="58"/>
      <c r="AK124" s="58"/>
      <c r="AL124" s="58"/>
      <c r="AM124" s="58"/>
      <c r="AN124" s="58"/>
      <c r="AO124" s="58"/>
      <c r="AP124" s="60"/>
    </row>
    <row r="125" spans="28:42" hidden="1" x14ac:dyDescent="0.4">
      <c r="AB125" s="58"/>
      <c r="AC125" s="58"/>
      <c r="AD125" s="58"/>
      <c r="AE125" s="58"/>
      <c r="AF125" s="59"/>
      <c r="AG125" s="59"/>
      <c r="AH125" s="59"/>
      <c r="AI125" s="58"/>
      <c r="AJ125" s="58"/>
      <c r="AK125" s="58"/>
      <c r="AL125" s="58"/>
      <c r="AM125" s="58"/>
      <c r="AN125" s="58"/>
      <c r="AO125" s="58"/>
      <c r="AP125" s="60"/>
    </row>
    <row r="126" spans="28:42" hidden="1" x14ac:dyDescent="0.4">
      <c r="AB126" s="58"/>
      <c r="AC126" s="58"/>
      <c r="AD126" s="58"/>
      <c r="AE126" s="58"/>
      <c r="AF126" s="59"/>
      <c r="AG126" s="59"/>
      <c r="AH126" s="59"/>
      <c r="AI126" s="58"/>
      <c r="AJ126" s="58"/>
      <c r="AK126" s="58"/>
      <c r="AL126" s="58"/>
      <c r="AM126" s="58"/>
      <c r="AN126" s="58"/>
      <c r="AO126" s="58"/>
      <c r="AP126" s="60"/>
    </row>
    <row r="127" spans="28:42" hidden="1" x14ac:dyDescent="0.4">
      <c r="AB127" s="58"/>
      <c r="AC127" s="58"/>
      <c r="AD127" s="58"/>
      <c r="AE127" s="58"/>
      <c r="AF127" s="59"/>
      <c r="AG127" s="59"/>
      <c r="AH127" s="59"/>
      <c r="AI127" s="58"/>
      <c r="AJ127" s="58"/>
      <c r="AK127" s="58"/>
      <c r="AL127" s="58"/>
      <c r="AM127" s="58"/>
      <c r="AN127" s="58"/>
      <c r="AO127" s="58"/>
      <c r="AP127" s="60"/>
    </row>
    <row r="128" spans="28:42" hidden="1" x14ac:dyDescent="0.4">
      <c r="AB128" s="58"/>
      <c r="AC128" s="58"/>
      <c r="AD128" s="58"/>
      <c r="AE128" s="58"/>
      <c r="AF128" s="59"/>
      <c r="AG128" s="59"/>
      <c r="AH128" s="59"/>
      <c r="AI128" s="58"/>
      <c r="AJ128" s="58"/>
      <c r="AK128" s="58"/>
      <c r="AL128" s="58"/>
      <c r="AM128" s="58"/>
      <c r="AN128" s="58"/>
      <c r="AO128" s="58"/>
      <c r="AP128" s="60"/>
    </row>
    <row r="129" spans="28:42" hidden="1" x14ac:dyDescent="0.4">
      <c r="AB129" s="58" t="s">
        <v>0</v>
      </c>
      <c r="AC129" s="58" t="s">
        <v>1</v>
      </c>
      <c r="AD129" s="58"/>
      <c r="AE129" s="58"/>
      <c r="AF129" s="59"/>
      <c r="AG129" s="59"/>
      <c r="AH129" s="59"/>
      <c r="AI129" s="58"/>
      <c r="AJ129" s="58"/>
      <c r="AK129" s="58"/>
      <c r="AL129" s="58"/>
      <c r="AM129" s="58"/>
      <c r="AN129" s="58"/>
      <c r="AO129" s="58"/>
      <c r="AP129" s="60"/>
    </row>
    <row r="130" spans="28:42" hidden="1" x14ac:dyDescent="0.4">
      <c r="AB130" s="58">
        <f>IF(COUNTBLANK(DECoMA!C114:'DECoMA'!F114)&gt;0,"",ABS((DECoMA!C114/DECoMA!D114)/(SQRT((1/DECoMA!E114)+(1/DECoMA!F114)))))</f>
        <v>3.8697254238022352E-2</v>
      </c>
      <c r="AC130" s="58">
        <f>IF(COUNTBLANK(DECoMA!C114:'DECoMA'!F114)&gt;0,"",ABS(DECoMA!C114/DECoMA!D114))</f>
        <v>1.1312217194570135E-2</v>
      </c>
      <c r="AD130" s="58"/>
      <c r="AE130" s="58" t="s">
        <v>27</v>
      </c>
      <c r="AF130" s="59"/>
      <c r="AG130" s="59"/>
      <c r="AH130" s="59"/>
      <c r="AI130" s="58"/>
      <c r="AJ130" s="58"/>
      <c r="AK130" s="58"/>
      <c r="AL130" s="58"/>
      <c r="AM130" s="58"/>
      <c r="AN130" s="58"/>
      <c r="AO130" s="58"/>
      <c r="AP130" s="60"/>
    </row>
    <row r="131" spans="28:42" hidden="1" x14ac:dyDescent="0.4">
      <c r="AB131" s="58"/>
      <c r="AC131" s="58"/>
      <c r="AD131" s="58"/>
      <c r="AE131" s="58"/>
      <c r="AF131" s="59"/>
      <c r="AG131" s="59"/>
      <c r="AH131" s="59"/>
      <c r="AI131" s="58"/>
      <c r="AJ131" s="58"/>
      <c r="AK131" s="58"/>
      <c r="AL131" s="58"/>
      <c r="AM131" s="58"/>
      <c r="AN131" s="58"/>
      <c r="AO131" s="58"/>
      <c r="AP131" s="60"/>
    </row>
    <row r="132" spans="28:42" hidden="1" x14ac:dyDescent="0.4">
      <c r="AB132" s="58"/>
      <c r="AC132" s="58"/>
      <c r="AD132" s="58"/>
      <c r="AE132" s="58"/>
      <c r="AF132" s="59"/>
      <c r="AG132" s="59"/>
      <c r="AH132" s="59"/>
      <c r="AI132" s="58"/>
      <c r="AJ132" s="58"/>
      <c r="AK132" s="58"/>
      <c r="AL132" s="58"/>
      <c r="AM132" s="58"/>
      <c r="AN132" s="58"/>
      <c r="AO132" s="58"/>
      <c r="AP132" s="60"/>
    </row>
    <row r="133" spans="28:42" hidden="1" x14ac:dyDescent="0.4">
      <c r="AB133" s="58"/>
      <c r="AC133" s="58"/>
      <c r="AD133" s="58"/>
      <c r="AE133" s="58"/>
      <c r="AF133" s="59"/>
      <c r="AG133" s="59"/>
      <c r="AH133" s="59"/>
      <c r="AI133" s="58"/>
      <c r="AJ133" s="58"/>
      <c r="AK133" s="58"/>
      <c r="AL133" s="58"/>
      <c r="AM133" s="58"/>
      <c r="AN133" s="58"/>
      <c r="AO133" s="58"/>
      <c r="AP133" s="60"/>
    </row>
    <row r="134" spans="28:42" hidden="1" x14ac:dyDescent="0.4">
      <c r="AB134" s="58"/>
      <c r="AC134" s="58"/>
      <c r="AD134" s="58"/>
      <c r="AE134" s="58"/>
      <c r="AF134" s="59"/>
      <c r="AG134" s="59"/>
      <c r="AH134" s="59"/>
      <c r="AI134" s="58"/>
      <c r="AJ134" s="58"/>
      <c r="AK134" s="58"/>
      <c r="AL134" s="58"/>
      <c r="AM134" s="58"/>
      <c r="AN134" s="58"/>
      <c r="AO134" s="58"/>
      <c r="AP134" s="60"/>
    </row>
    <row r="135" spans="28:42" hidden="1" x14ac:dyDescent="0.4">
      <c r="AB135" s="58"/>
      <c r="AC135" s="58"/>
      <c r="AD135" s="58"/>
      <c r="AE135" s="58"/>
      <c r="AF135" s="59"/>
      <c r="AG135" s="59"/>
      <c r="AH135" s="59"/>
      <c r="AI135" s="58"/>
      <c r="AJ135" s="58"/>
      <c r="AK135" s="58"/>
      <c r="AL135" s="58"/>
      <c r="AM135" s="58"/>
      <c r="AN135" s="58"/>
      <c r="AO135" s="58"/>
      <c r="AP135" s="60"/>
    </row>
    <row r="136" spans="28:42" hidden="1" x14ac:dyDescent="0.4">
      <c r="AB136" s="58"/>
      <c r="AC136" s="58"/>
      <c r="AD136" s="58"/>
      <c r="AE136" s="58"/>
      <c r="AF136" s="59"/>
      <c r="AG136" s="59"/>
      <c r="AH136" s="59"/>
      <c r="AI136" s="58"/>
      <c r="AJ136" s="58"/>
      <c r="AK136" s="58"/>
      <c r="AL136" s="58"/>
      <c r="AM136" s="58"/>
      <c r="AN136" s="58"/>
      <c r="AO136" s="58"/>
      <c r="AP136" s="60"/>
    </row>
    <row r="137" spans="28:42" hidden="1" x14ac:dyDescent="0.4">
      <c r="AB137" s="58"/>
      <c r="AC137" s="58"/>
      <c r="AD137" s="58"/>
      <c r="AE137" s="58"/>
      <c r="AF137" s="59"/>
      <c r="AG137" s="59"/>
      <c r="AH137" s="59"/>
      <c r="AI137" s="58"/>
      <c r="AJ137" s="58"/>
      <c r="AK137" s="58"/>
      <c r="AL137" s="58"/>
      <c r="AM137" s="58"/>
      <c r="AN137" s="58"/>
      <c r="AO137" s="58"/>
      <c r="AP137" s="60"/>
    </row>
    <row r="138" spans="28:42" hidden="1" x14ac:dyDescent="0.4">
      <c r="AB138" s="58"/>
      <c r="AC138" s="58"/>
      <c r="AD138" s="58"/>
      <c r="AE138" s="58"/>
      <c r="AF138" s="59"/>
      <c r="AG138" s="59"/>
      <c r="AH138" s="59"/>
      <c r="AI138" s="58"/>
      <c r="AJ138" s="58"/>
      <c r="AK138" s="58"/>
      <c r="AL138" s="58"/>
      <c r="AM138" s="58"/>
      <c r="AN138" s="58"/>
      <c r="AO138" s="58"/>
      <c r="AP138" s="60"/>
    </row>
    <row r="139" spans="28:42" hidden="1" x14ac:dyDescent="0.4">
      <c r="AB139" s="58" t="s">
        <v>0</v>
      </c>
      <c r="AC139" s="58" t="s">
        <v>1</v>
      </c>
      <c r="AD139" s="58" t="s">
        <v>104</v>
      </c>
      <c r="AE139" s="58"/>
      <c r="AF139" s="59"/>
      <c r="AG139" s="59"/>
      <c r="AH139" s="59"/>
      <c r="AI139" s="58"/>
      <c r="AJ139" s="58"/>
      <c r="AK139" s="58"/>
      <c r="AL139" s="58"/>
      <c r="AM139" s="61">
        <v>0.9</v>
      </c>
      <c r="AN139" s="61">
        <v>0.95</v>
      </c>
      <c r="AO139" s="61">
        <v>0.99</v>
      </c>
      <c r="AP139" s="60"/>
    </row>
    <row r="140" spans="28:42" hidden="1" x14ac:dyDescent="0.4">
      <c r="AB140" s="58">
        <f>IF(COUNTBLANK(DECoMA!C105:'DECoMA'!G105)&gt;0,"",IF(DECoMA!E105="","", IF(DECoMA!G107="", IF(DECoMA!F105&lt;60,(DECoMA!D105-DECoMA!C105)/(TINV(1-DECoMA!E105,DECoMA!F105-2)*2),IF(DECoMA!G105&lt;60,(DECoMA!D105-DECoMA!C105)/(TINV(1-DECoMA!E105,DECoMA!F105-2)*2),IF(DECoMA!E105=0.9,((DECoMA!D105-DECoMA!C105)/Note!AM140),IF(DECoMA!E105=0.95,((DECoMA!D105-DECoMA!C105)/Note!AN140),((DECoMA!D105-DECoMA!C105)/Note!AO140))))), IF(DECoMA!G107="t", (DECoMA!D105-DECoMA!C105)/(TINV(1-DECoMA!E105,DECoMA!F105-2)*2), IF(DECoMA!G107="z", IF(DECoMA!E105=0.9,((DECoMA!D105-DECoMA!C105)/Note!AM140),IF(DECoMA!E105=0.95,((DECoMA!D105-DECoMA!C105)/Note!AN140),((DECoMA!D105-DECoMA!C105)/Note!AO140))))))))/SQRT(((1/DECoMA!F105)+(1/DECoMA!G105)))</f>
        <v>4.6880999662593732</v>
      </c>
      <c r="AC140" s="58">
        <f>IF(COUNTBLANK(DECoMA!C105:'DECoMA'!G105)&gt;0,"",IF(DECoMA!E105="","",IF(DECoMA!G107="t",(DECoMA!D105-DECoMA!C105)/(TINV(1-DECoMA!E105,DECoMA!F105-2)*2),IF(DECoMA!G107="z",IF(DECoMA!E105=0.9,((DECoMA!D105-DECoMA!C105)/Note!AM140),IF(DECoMA!E105=0.95,((DECoMA!D105-DECoMA!C105)/Note!AN140),((DECoMA!D105-DECoMA!C105)/Note!AO140))),IF(DECoMA!F105&lt;60,(DECoMA!D105-DECoMA!C105)/(TINV(1-DECoMA!E105,DECoMA!F105-2)*2),IF(DECoMA!G105&lt;60,(DECoMA!D105-DECoMA!C105)/(TINV(1-DECoMA!E105,DECoMA!F105-2)*2),IF(DECoMA!E105=0.9,((DECoMA!D105-DECoMA!C105)/Note!AM140),IF(DECoMA!E105=0.95,((DECoMA!D105-DECoMA!C105)/Note!AN140),((DECoMA!D105-DECoMA!C105)/Note!AO140)))))))))</f>
        <v>1.3704539531922415</v>
      </c>
      <c r="AD140" s="58">
        <f>IF(DECoMA!E105="","",IF(DECoMA!F105&lt;60,(DECoMA!D105-DECoMA!C105)/(TINV(1-DECoMA!E105,DECoMA!F105-2)*2),IF(DECoMA!G105&lt;60,(DECoMA!D105-DECoMA!C105)/(TINV(1-DECoMA!E105,DECoMA!F105-2)*2),IF(DECoMA!E105=0.9,((DECoMA!D105-DECoMA!C105)/Note!AM140),IF(DECoMA!E105=0.95,((DECoMA!D105-DECoMA!C105)/Note!AN140),((DECoMA!D105-DECoMA!C105)/Note!AO140))))))</f>
        <v>1.3704539531922415</v>
      </c>
      <c r="AE140" s="58" t="s">
        <v>24</v>
      </c>
      <c r="AF140" s="59"/>
      <c r="AG140" s="59"/>
      <c r="AH140" s="59"/>
      <c r="AI140" s="58"/>
      <c r="AJ140" s="58"/>
      <c r="AK140" s="58"/>
      <c r="AL140" s="58"/>
      <c r="AM140" s="58">
        <v>3.29</v>
      </c>
      <c r="AN140" s="58">
        <v>3.92</v>
      </c>
      <c r="AO140" s="58">
        <v>5.51</v>
      </c>
      <c r="AP140" s="60"/>
    </row>
    <row r="141" spans="28:42" hidden="1" x14ac:dyDescent="0.4">
      <c r="AB141" s="58" t="e">
        <f>IF(DECoMA!E105="","",IF(DECoMA!F107=1,IF(DECoMA!F105&gt;100, IF(DECoMA!E105=0.9,((DECoMA!D105-DECoMA!C105)/Note!AM140), IF(DECoMA!E105=0.95,((DECoMA!D105-DECoMA!C105)/Note!AN140), ((DECoMA!D105-DECoMA!C105)/Note!AO140)))*(SQRT(DECoMA!F105)), IF(DECoMA!F107="","",((DECoMA!D105-DECoMA!C105)/(TINV(1-DECoMA!E105,DECoMA!F105-DECoMA!F107)*2))*(SQRT(DECoMA!F105)))),IF(DECoMA!F105/2&gt;60, IF(DECoMA!E105=0.9,((DECoMA!D105-DECoMA!C105)/Note!AM140), IF(DECoMA!E105=0.95,((DECoMA!D105-DECoMA!C105)/Note!AN140), ((DECoMA!D105-DECoMA!C105)/Note!AO140)))*(SQRT(DECoMA!F105)), IF(DECoMA!F107="","",((DECoMA!D105-DECoMA!C105)/(TINV(1-DECoMA!E105,DECoMA!F105-DECoMA!F107)*2))*(SQRT(DECoMA!F105))))))</f>
        <v>#VALUE!</v>
      </c>
      <c r="AC141" s="58" t="e">
        <f>IF(DECoMA!E105="","",IF(DECoMA!F107=1,IF(DECoMA!F105&gt;100, IF(DECoMA!E105=0.9,((DECoMA!D105-DECoMA!C105)/Note!AM140), IF(DECoMA!E105=0.95,((DECoMA!D105-DECoMA!C105)/Note!AN140), ((DECoMA!D105-DECoMA!C105)/Note!AO140))), IF(DECoMA!F107="","",((DECoMA!D105-DECoMA!C105)/(TINV(1-DECoMA!E105,DECoMA!F105-DECoMA!F107)*2)))), IF(DECoMA!F105/2&gt;100, IF(DECoMA!E105=0.9,((DECoMA!D105-DECoMA!C105)/Note!AM140), IF(DECoMA!E105=0.95,((DECoMA!D105-DECoMA!C105)/Note!AN140), ((DECoMA!D105-DECoMA!C105)/Note!AO140))), IF(DECoMA!F107="","",((DECoMA!D105-DECoMA!C105)/(TINV(1-DECoMA!E105,DECoMA!F105-DECoMA!F107)*2))))))</f>
        <v>#VALUE!</v>
      </c>
      <c r="AD141" s="58"/>
      <c r="AE141" s="58"/>
      <c r="AF141" s="59"/>
      <c r="AG141" s="59"/>
      <c r="AH141" s="59"/>
      <c r="AI141" s="58"/>
      <c r="AJ141" s="58"/>
      <c r="AK141" s="58"/>
      <c r="AL141" s="58"/>
      <c r="AM141" s="58"/>
      <c r="AN141" s="58"/>
      <c r="AO141" s="58"/>
      <c r="AP141" s="60"/>
    </row>
    <row r="142" spans="28:42" hidden="1" x14ac:dyDescent="0.4">
      <c r="AB142" s="58">
        <f>IF(DECoMA!G107="t",(DECoMA!D105-DECoMA!C105)/(TINV(1-DECoMA!E105,DECoMA!F105+DECoMA!G105-2)*2),IF(DECoMA!G107="z",IF(DECoMA!E105=0.9,((DECoMA!D105-DECoMA!C105)/Note!AM140),IF(DECoMA!E105=0.95,((DECoMA!D105-DECoMA!C105)/Note!AN140),((DECoMA!D105-DECoMA!C105)/Note!AO140))),))</f>
        <v>0</v>
      </c>
      <c r="AC142" s="58">
        <f>IF(DECoMA!G107="t",(DECoMA!D105-DECoMA!C105)/(TINV(1-DECoMA!E105,DECoMA!F105-2)*2),IF(DECoMA!G107="z",IF(DECoMA!E105=0.9,((DECoMA!D105-DECoMA!C105)/Note!AM140),IF(DECoMA!E105=0.95,((DECoMA!D105-DECoMA!C105)/Note!AN140),((DECoMA!D105-DECoMA!C105)/Note!AO140))),))</f>
        <v>0</v>
      </c>
      <c r="AD142" s="58"/>
      <c r="AE142" s="58"/>
      <c r="AF142" s="59"/>
      <c r="AG142" s="59"/>
      <c r="AH142" s="59"/>
      <c r="AI142" s="58"/>
      <c r="AJ142" s="58"/>
      <c r="AK142" s="58"/>
      <c r="AL142" s="58"/>
      <c r="AM142" s="58"/>
      <c r="AN142" s="58"/>
      <c r="AO142" s="58"/>
      <c r="AP142" s="60"/>
    </row>
    <row r="143" spans="28:42" hidden="1" x14ac:dyDescent="0.4">
      <c r="AB143" s="58"/>
      <c r="AC143" s="58"/>
      <c r="AD143" s="58"/>
      <c r="AE143" s="58"/>
      <c r="AF143" s="59"/>
      <c r="AG143" s="59"/>
      <c r="AH143" s="59"/>
      <c r="AI143" s="58"/>
      <c r="AJ143" s="58"/>
      <c r="AK143" s="58"/>
      <c r="AL143" s="58"/>
      <c r="AM143" s="58"/>
      <c r="AN143" s="58"/>
      <c r="AO143" s="58"/>
      <c r="AP143" s="60"/>
    </row>
    <row r="144" spans="28:42" hidden="1" x14ac:dyDescent="0.4">
      <c r="AB144" s="58"/>
      <c r="AC144" s="58"/>
      <c r="AD144" s="58"/>
      <c r="AE144" s="58" t="s">
        <v>31</v>
      </c>
      <c r="AF144" s="59"/>
      <c r="AG144" s="59"/>
      <c r="AH144" s="59"/>
      <c r="AI144" s="58"/>
      <c r="AJ144" s="58"/>
      <c r="AK144" s="58"/>
      <c r="AL144" s="58"/>
      <c r="AM144" s="58"/>
      <c r="AN144" s="58"/>
      <c r="AO144" s="58"/>
      <c r="AP144" s="60"/>
    </row>
    <row r="145" spans="28:42" hidden="1" x14ac:dyDescent="0.4">
      <c r="AB145" s="58"/>
      <c r="AC145" s="58"/>
      <c r="AD145" s="58"/>
      <c r="AE145" s="58" t="s">
        <v>40</v>
      </c>
      <c r="AF145" s="59"/>
      <c r="AG145" s="59"/>
      <c r="AH145" s="59"/>
      <c r="AI145" s="58"/>
      <c r="AJ145" s="58"/>
      <c r="AK145" s="58"/>
      <c r="AL145" s="58"/>
      <c r="AM145" s="58"/>
      <c r="AN145" s="58"/>
      <c r="AO145" s="58"/>
      <c r="AP145" s="60"/>
    </row>
    <row r="146" spans="28:42" hidden="1" x14ac:dyDescent="0.4">
      <c r="AB146" s="58"/>
      <c r="AC146" s="58"/>
      <c r="AD146" s="58"/>
      <c r="AE146" s="58"/>
      <c r="AF146" s="59"/>
      <c r="AG146" s="59"/>
      <c r="AH146" s="59"/>
      <c r="AI146" s="58"/>
      <c r="AJ146" s="58"/>
      <c r="AK146" s="58"/>
      <c r="AL146" s="58"/>
      <c r="AM146" s="58"/>
      <c r="AN146" s="58"/>
      <c r="AO146" s="58"/>
      <c r="AP146" s="60"/>
    </row>
    <row r="147" spans="28:42" hidden="1" x14ac:dyDescent="0.4">
      <c r="AB147" s="58" t="s">
        <v>0</v>
      </c>
      <c r="AC147" s="58" t="s">
        <v>1</v>
      </c>
      <c r="AD147" s="58"/>
      <c r="AE147" s="58"/>
      <c r="AF147" s="59"/>
      <c r="AG147" s="59"/>
      <c r="AH147" s="59"/>
      <c r="AI147" s="58"/>
      <c r="AJ147" s="58"/>
      <c r="AK147" s="58"/>
      <c r="AL147" s="58"/>
      <c r="AM147" s="58"/>
      <c r="AN147" s="58"/>
      <c r="AO147" s="58"/>
      <c r="AP147" s="60"/>
    </row>
    <row r="148" spans="28:42" hidden="1" x14ac:dyDescent="0.4">
      <c r="AB148" s="58">
        <f>IF(COUNTBLANK(DECoMA!C96:'DECoMA'!E96)&gt;0,"",ROUND(DECoMA!C96,2)/(SQRT((1/DECoMA!D96)+(1/DECoMA!E96))))</f>
        <v>4.6865470662584112</v>
      </c>
      <c r="AC148" s="58"/>
      <c r="AD148" s="58"/>
      <c r="AE148" s="58" t="s">
        <v>25</v>
      </c>
      <c r="AF148" s="59"/>
      <c r="AG148" s="59"/>
      <c r="AH148" s="59"/>
      <c r="AI148" s="58"/>
      <c r="AJ148" s="58"/>
      <c r="AK148" s="58"/>
      <c r="AL148" s="58"/>
      <c r="AM148" s="58"/>
      <c r="AN148" s="58"/>
      <c r="AO148" s="58"/>
      <c r="AP148" s="60"/>
    </row>
    <row r="149" spans="28:42" hidden="1" x14ac:dyDescent="0.4">
      <c r="AB149" s="58"/>
      <c r="AC149" s="58"/>
      <c r="AD149" s="58"/>
      <c r="AE149" s="58"/>
      <c r="AF149" s="59"/>
      <c r="AG149" s="59"/>
      <c r="AH149" s="59"/>
      <c r="AI149" s="58"/>
      <c r="AJ149" s="58"/>
      <c r="AK149" s="58"/>
      <c r="AL149" s="58"/>
      <c r="AM149" s="58"/>
      <c r="AN149" s="58"/>
      <c r="AO149" s="58"/>
      <c r="AP149" s="60"/>
    </row>
    <row r="150" spans="28:42" hidden="1" x14ac:dyDescent="0.4">
      <c r="AB150" s="58"/>
      <c r="AC150" s="58"/>
      <c r="AD150" s="58"/>
      <c r="AE150" s="58"/>
      <c r="AF150" s="59"/>
      <c r="AG150" s="59"/>
      <c r="AH150" s="59"/>
      <c r="AI150" s="58"/>
      <c r="AJ150" s="58"/>
      <c r="AK150" s="58"/>
      <c r="AL150" s="58"/>
      <c r="AM150" s="58"/>
      <c r="AN150" s="58"/>
      <c r="AO150" s="58"/>
      <c r="AP150" s="60"/>
    </row>
    <row r="151" spans="28:42" hidden="1" x14ac:dyDescent="0.4">
      <c r="AB151" s="58"/>
      <c r="AC151" s="58"/>
      <c r="AD151" s="58"/>
      <c r="AE151" s="58"/>
      <c r="AF151" s="59"/>
      <c r="AG151" s="59"/>
      <c r="AH151" s="59"/>
      <c r="AI151" s="58"/>
      <c r="AJ151" s="58"/>
      <c r="AK151" s="58"/>
      <c r="AL151" s="58"/>
      <c r="AM151" s="58"/>
      <c r="AN151" s="58"/>
      <c r="AO151" s="58"/>
      <c r="AP151" s="60"/>
    </row>
    <row r="152" spans="28:42" hidden="1" x14ac:dyDescent="0.4">
      <c r="AB152" s="58"/>
      <c r="AC152" s="58"/>
      <c r="AD152" s="58"/>
      <c r="AE152" s="58"/>
      <c r="AF152" s="59"/>
      <c r="AG152" s="59"/>
      <c r="AH152" s="59"/>
      <c r="AI152" s="58"/>
      <c r="AJ152" s="58"/>
      <c r="AK152" s="58"/>
      <c r="AL152" s="58"/>
      <c r="AM152" s="58"/>
      <c r="AN152" s="58"/>
      <c r="AO152" s="58"/>
      <c r="AP152" s="60"/>
    </row>
    <row r="153" spans="28:42" hidden="1" x14ac:dyDescent="0.4">
      <c r="AB153" s="58"/>
      <c r="AC153" s="58"/>
      <c r="AD153" s="58"/>
      <c r="AE153" s="58"/>
      <c r="AF153" s="59"/>
      <c r="AG153" s="59"/>
      <c r="AH153" s="59"/>
      <c r="AI153" s="58"/>
      <c r="AJ153" s="58"/>
      <c r="AK153" s="58"/>
      <c r="AL153" s="58"/>
      <c r="AM153" s="58"/>
      <c r="AN153" s="58"/>
      <c r="AO153" s="58"/>
      <c r="AP153" s="60"/>
    </row>
    <row r="154" spans="28:42" hidden="1" x14ac:dyDescent="0.4">
      <c r="AB154" s="58"/>
      <c r="AC154" s="58"/>
      <c r="AD154" s="58"/>
      <c r="AE154" s="58" t="s">
        <v>31</v>
      </c>
      <c r="AF154" s="59"/>
      <c r="AG154" s="59"/>
      <c r="AH154" s="59"/>
      <c r="AI154" s="58"/>
      <c r="AJ154" s="58"/>
      <c r="AK154" s="58"/>
      <c r="AL154" s="58"/>
      <c r="AM154" s="58"/>
      <c r="AN154" s="58"/>
      <c r="AO154" s="58"/>
      <c r="AP154" s="60"/>
    </row>
    <row r="155" spans="28:42" hidden="1" x14ac:dyDescent="0.4">
      <c r="AB155" s="58"/>
      <c r="AC155" s="58"/>
      <c r="AD155" s="58"/>
      <c r="AE155" s="58" t="s">
        <v>40</v>
      </c>
      <c r="AF155" s="59"/>
      <c r="AG155" s="59"/>
      <c r="AH155" s="59"/>
      <c r="AI155" s="58"/>
      <c r="AJ155" s="58"/>
      <c r="AK155" s="58"/>
      <c r="AL155" s="58"/>
      <c r="AM155" s="58"/>
      <c r="AN155" s="58"/>
      <c r="AO155" s="58"/>
      <c r="AP155" s="60"/>
    </row>
    <row r="156" spans="28:42" hidden="1" x14ac:dyDescent="0.4">
      <c r="AB156" s="58"/>
      <c r="AC156" s="58"/>
      <c r="AD156" s="58"/>
      <c r="AE156" s="58"/>
      <c r="AF156" s="59"/>
      <c r="AG156" s="59"/>
      <c r="AH156" s="59"/>
      <c r="AI156" s="58"/>
      <c r="AJ156" s="58"/>
      <c r="AK156" s="58"/>
      <c r="AL156" s="58"/>
      <c r="AM156" s="58"/>
      <c r="AN156" s="58"/>
      <c r="AO156" s="58"/>
      <c r="AP156" s="60"/>
    </row>
    <row r="157" spans="28:42" hidden="1" x14ac:dyDescent="0.4">
      <c r="AB157" s="58" t="s">
        <v>0</v>
      </c>
      <c r="AC157" s="58" t="s">
        <v>1</v>
      </c>
      <c r="AD157" s="58"/>
      <c r="AE157" s="58"/>
      <c r="AF157" s="59"/>
      <c r="AG157" s="59"/>
      <c r="AH157" s="59"/>
      <c r="AI157" s="58"/>
      <c r="AJ157" s="58"/>
      <c r="AK157" s="58"/>
      <c r="AL157" s="58"/>
      <c r="AM157" s="58"/>
      <c r="AN157" s="58"/>
      <c r="AO157" s="58"/>
      <c r="AP157" s="60"/>
    </row>
    <row r="158" spans="28:42" hidden="1" x14ac:dyDescent="0.4">
      <c r="AB158" s="58">
        <f>IF(COUNTBLANK(DECoMA!C8:'DECoMA'!D8)&gt;0,"",DECoMA!C8*(SQRT(DECoMA!D8)))</f>
        <v>5.0849999999999991</v>
      </c>
      <c r="AC158" s="58"/>
      <c r="AD158" s="58"/>
      <c r="AE158" s="58" t="s">
        <v>25</v>
      </c>
      <c r="AF158" s="59"/>
      <c r="AG158" s="59"/>
      <c r="AH158" s="59"/>
      <c r="AI158" s="58"/>
      <c r="AJ158" s="58"/>
      <c r="AK158" s="58"/>
      <c r="AL158" s="58"/>
      <c r="AM158" s="58"/>
      <c r="AN158" s="58"/>
      <c r="AO158" s="58"/>
      <c r="AP158" s="60"/>
    </row>
    <row r="159" spans="28:42" hidden="1" x14ac:dyDescent="0.4">
      <c r="AB159" s="58"/>
      <c r="AC159" s="58"/>
      <c r="AD159" s="58"/>
      <c r="AE159" s="58"/>
      <c r="AF159" s="59"/>
      <c r="AG159" s="59"/>
      <c r="AH159" s="59"/>
      <c r="AI159" s="58"/>
      <c r="AJ159" s="58"/>
      <c r="AK159" s="58"/>
      <c r="AL159" s="58"/>
      <c r="AM159" s="58"/>
      <c r="AN159" s="58"/>
      <c r="AO159" s="58"/>
      <c r="AP159" s="60"/>
    </row>
    <row r="160" spans="28:42" hidden="1" x14ac:dyDescent="0.4">
      <c r="AB160" s="58"/>
      <c r="AC160" s="58"/>
      <c r="AD160" s="58"/>
      <c r="AE160" s="58"/>
      <c r="AF160" s="59"/>
      <c r="AG160" s="59"/>
      <c r="AH160" s="59"/>
      <c r="AI160" s="58"/>
      <c r="AJ160" s="58"/>
      <c r="AK160" s="58"/>
      <c r="AL160" s="58"/>
      <c r="AM160" s="58"/>
      <c r="AN160" s="58"/>
      <c r="AO160" s="58"/>
      <c r="AP160" s="60"/>
    </row>
    <row r="161" spans="28:42" hidden="1" x14ac:dyDescent="0.4">
      <c r="AB161" s="58"/>
      <c r="AC161" s="58"/>
      <c r="AD161" s="58"/>
      <c r="AE161" s="58"/>
      <c r="AF161" s="59"/>
      <c r="AG161" s="59"/>
      <c r="AH161" s="59"/>
      <c r="AI161" s="58"/>
      <c r="AJ161" s="58"/>
      <c r="AK161" s="58"/>
      <c r="AL161" s="58"/>
      <c r="AM161" s="58"/>
      <c r="AN161" s="58"/>
      <c r="AO161" s="58"/>
      <c r="AP161" s="60"/>
    </row>
    <row r="162" spans="28:42" hidden="1" x14ac:dyDescent="0.4">
      <c r="AB162" s="58"/>
      <c r="AC162" s="58"/>
      <c r="AD162" s="58"/>
      <c r="AE162" s="58"/>
      <c r="AF162" s="59"/>
      <c r="AG162" s="59"/>
      <c r="AH162" s="59"/>
      <c r="AI162" s="58"/>
      <c r="AJ162" s="58"/>
      <c r="AK162" s="58"/>
      <c r="AL162" s="58"/>
      <c r="AM162" s="58"/>
      <c r="AN162" s="58"/>
      <c r="AO162" s="58"/>
      <c r="AP162" s="60"/>
    </row>
    <row r="163" spans="28:42" hidden="1" x14ac:dyDescent="0.4">
      <c r="AB163" s="58"/>
      <c r="AC163" s="58"/>
      <c r="AD163" s="58"/>
      <c r="AE163" s="58"/>
      <c r="AF163" s="59"/>
      <c r="AG163" s="59"/>
      <c r="AH163" s="59"/>
      <c r="AI163" s="58"/>
      <c r="AJ163" s="58"/>
      <c r="AK163" s="58"/>
      <c r="AL163" s="58"/>
      <c r="AM163" s="58"/>
      <c r="AN163" s="58"/>
      <c r="AO163" s="58"/>
      <c r="AP163" s="60"/>
    </row>
    <row r="164" spans="28:42" hidden="1" x14ac:dyDescent="0.4">
      <c r="AB164" s="58"/>
      <c r="AC164" s="58"/>
      <c r="AD164" s="58"/>
      <c r="AE164" s="58"/>
      <c r="AF164" s="59"/>
      <c r="AG164" s="59"/>
      <c r="AH164" s="59"/>
      <c r="AI164" s="58"/>
      <c r="AJ164" s="58"/>
      <c r="AK164" s="58"/>
      <c r="AL164" s="58"/>
      <c r="AM164" s="58"/>
      <c r="AN164" s="58"/>
      <c r="AO164" s="58"/>
      <c r="AP164" s="60"/>
    </row>
    <row r="165" spans="28:42" hidden="1" x14ac:dyDescent="0.4">
      <c r="AB165" s="58"/>
      <c r="AC165" s="58"/>
      <c r="AD165" s="58"/>
      <c r="AE165" s="58"/>
      <c r="AF165" s="59"/>
      <c r="AG165" s="59"/>
      <c r="AH165" s="59"/>
      <c r="AI165" s="58"/>
      <c r="AJ165" s="58"/>
      <c r="AK165" s="58"/>
      <c r="AL165" s="58"/>
      <c r="AM165" s="58"/>
      <c r="AN165" s="58"/>
      <c r="AO165" s="58"/>
      <c r="AP165" s="60"/>
    </row>
    <row r="166" spans="28:42" hidden="1" x14ac:dyDescent="0.4">
      <c r="AB166" s="58"/>
      <c r="AC166" s="58"/>
      <c r="AD166" s="58"/>
      <c r="AE166" s="58"/>
      <c r="AF166" s="59"/>
      <c r="AG166" s="59"/>
      <c r="AH166" s="59"/>
      <c r="AI166" s="58"/>
      <c r="AJ166" s="58"/>
      <c r="AK166" s="58"/>
      <c r="AL166" s="58"/>
      <c r="AM166" s="58"/>
      <c r="AN166" s="58"/>
      <c r="AO166" s="58"/>
      <c r="AP166" s="60"/>
    </row>
    <row r="167" spans="28:42" hidden="1" x14ac:dyDescent="0.4">
      <c r="AB167" s="58" t="s">
        <v>6</v>
      </c>
      <c r="AC167" s="58" t="s">
        <v>30</v>
      </c>
      <c r="AD167" s="58" t="s">
        <v>104</v>
      </c>
      <c r="AE167" s="58"/>
      <c r="AF167" s="59"/>
      <c r="AG167" s="59"/>
      <c r="AH167" s="59"/>
      <c r="AI167" s="58"/>
      <c r="AJ167" s="58"/>
      <c r="AK167" s="58"/>
      <c r="AL167" s="58"/>
      <c r="AM167" s="61">
        <v>0.9</v>
      </c>
      <c r="AN167" s="61">
        <v>0.95</v>
      </c>
      <c r="AO167" s="61">
        <v>0.99</v>
      </c>
      <c r="AP167" s="60"/>
    </row>
    <row r="168" spans="28:42" hidden="1" x14ac:dyDescent="0.4">
      <c r="AB168" s="58">
        <f>IF(COUNTBLANK(DECoMA!C17:'DECoMA'!F17)&gt;0,"",IF(DECoMA!E17="","",IF(DECoMA!H17="t",((DECoMA!D17-DECoMA!C17)/(TINV(1-DECoMA!E17,DECoMA!F17-1)*2)),IF(DECoMA!H17="z",IF(DECoMA!E17=0.9,((DECoMA!D17-DECoMA!C17)/Note!AM168),IF(DECoMA!E17=0.95,((DECoMA!D17-DECoMA!C17)/Note!AN168),((DECoMA!D17-DECoMA!C17)/Note!AO168))),IF(DECoMA!F17&lt;100,((DECoMA!D17-DECoMA!C17)/(TINV(1-DECoMA!E17,DECoMA!F17-1)*2)),IF(DECoMA!E17=0.9,((DECoMA!D17-DECoMA!C17)/Note!AM168),IF(DECoMA!E17=0.95,((DECoMA!D17-DECoMA!C17)/Note!AN168),((DECoMA!D17-DECoMA!C17)/Note!AO168)))))))*SQRT(DECoMA!F17))</f>
        <v>5.0874593331357785</v>
      </c>
      <c r="AC168" s="58">
        <f>IF(COUNTBLANK(DECoMA!C17:'DECoMA'!F17)&gt;0,"",IF(DECoMA!E17="","",IF(DECoMA!H17="t",((DECoMA!D17-DECoMA!C17)/(TINV(1-DECoMA!E17,DECoMA!F17-1)*2)),IF(DECoMA!H17="z",IF(DECoMA!E17=0.9,((DECoMA!D17-DECoMA!C17)/Note!AM168),IF(DECoMA!E17=0.95,((DECoMA!D17-DECoMA!C17)/Note!AN168),((DECoMA!D17-DECoMA!C17)/Note!AO168))),IF(DECoMA!F17&lt;100,((DECoMA!D17-DECoMA!C17)/(TINV(1-DECoMA!E17,DECoMA!F17-1)*2)),IF(DECoMA!E17=0.9,((DECoMA!D17-DECoMA!C17)/Note!AM168),IF(DECoMA!E17=0.95,((DECoMA!D17-DECoMA!C17)/Note!AN168),((DECoMA!D17-DECoMA!C17)/Note!AO168))))))))</f>
        <v>1.0174918666271557</v>
      </c>
      <c r="AD168" s="58">
        <f>IF(DECoMA!E17="","",IF(DECoMA!F17&lt;100,((DECoMA!D17-DECoMA!C17)/(TINV(1-DECoMA!E17,DECoMA!F17-1)*2)),IF(DECoMA!E17=0.9,((DECoMA!D17-DECoMA!C17)/Note!AM168),IF(DECoMA!E17=0.95,((DECoMA!D17-DECoMA!C17)/Note!AN168),((DECoMA!D17-DECoMA!C17)/Note!AO168)))))</f>
        <v>1.0174918666271557</v>
      </c>
      <c r="AE168" s="58" t="s">
        <v>24</v>
      </c>
      <c r="AF168" s="59"/>
      <c r="AG168" s="59"/>
      <c r="AH168" s="59"/>
      <c r="AI168" s="58"/>
      <c r="AJ168" s="58"/>
      <c r="AK168" s="58"/>
      <c r="AL168" s="58"/>
      <c r="AM168" s="58">
        <v>3.29</v>
      </c>
      <c r="AN168" s="58">
        <v>3.92</v>
      </c>
      <c r="AO168" s="58">
        <v>5.51</v>
      </c>
      <c r="AP168" s="60"/>
    </row>
    <row r="169" spans="28:42" hidden="1" x14ac:dyDescent="0.4">
      <c r="AB169" s="58">
        <f>IF(DECoMA!H17="t",((DECoMA!D17-DECoMA!C17)/(TINV(1-DECoMA!E17,DECoMA!F17-1)*2)),IF(DECoMA!H17="z",IF(DECoMA!E17=0.9,((DECoMA!D17-DECoMA!C17)/Note!AM168),IF(DECoMA!E17=0.95,((DECoMA!D17-DECoMA!C17)/Note!AN168),((DECoMA!D17-DECoMA!C17)/Note!AO168))),))</f>
        <v>0</v>
      </c>
      <c r="AC169" s="58">
        <f>IF(DECoMA!H17="t",((DECoMA!D17-DECoMA!C17)/(TINV(1-DECoMA!E17,DECoMA!F17-1)*2)),IF(DECoMA!H17="z",IF(DECoMA!E17=0.9,((DECoMA!D17-DECoMA!C17)/Note!AM168),IF(DECoMA!E17=0.95,((DECoMA!D17-DECoMA!C17)/Note!AN168),((DECoMA!D17-DECoMA!C17)/Note!AO168))),))</f>
        <v>0</v>
      </c>
      <c r="AD169" s="58"/>
      <c r="AE169" s="58"/>
      <c r="AF169" s="59"/>
      <c r="AG169" s="59"/>
      <c r="AH169" s="59"/>
      <c r="AI169" s="58"/>
      <c r="AJ169" s="58"/>
      <c r="AK169" s="58"/>
      <c r="AL169" s="58"/>
      <c r="AM169" s="58"/>
      <c r="AN169" s="58"/>
      <c r="AO169" s="58"/>
      <c r="AP169" s="60"/>
    </row>
    <row r="170" spans="28:42" hidden="1" x14ac:dyDescent="0.4">
      <c r="AB170" s="58"/>
      <c r="AC170" s="58">
        <f>IF(DECoMA!E17=0.9,((DECoMA!D17-DECoMA!C17)/Note!AM168),IF(DECoMA!E17=0.95,((DECoMA!D17-DECoMA!C17)/Note!AN168),((DECoMA!D17-DECoMA!C17)/Note!AO168)))</f>
        <v>1.0714285714285721</v>
      </c>
      <c r="AD170" s="58"/>
      <c r="AE170" s="58"/>
      <c r="AF170" s="59"/>
      <c r="AG170" s="59"/>
      <c r="AH170" s="59"/>
      <c r="AI170" s="58"/>
      <c r="AJ170" s="58"/>
      <c r="AK170" s="58"/>
      <c r="AL170" s="58"/>
      <c r="AM170" s="58"/>
      <c r="AN170" s="58"/>
      <c r="AO170" s="58"/>
      <c r="AP170" s="60"/>
    </row>
    <row r="171" spans="28:42" hidden="1" x14ac:dyDescent="0.4">
      <c r="AB171" s="58"/>
      <c r="AC171" s="58"/>
      <c r="AD171" s="58"/>
      <c r="AE171" s="58"/>
      <c r="AF171" s="59"/>
      <c r="AG171" s="59"/>
      <c r="AH171" s="59"/>
      <c r="AI171" s="58"/>
      <c r="AJ171" s="58"/>
      <c r="AK171" s="58"/>
      <c r="AL171" s="58"/>
      <c r="AM171" s="58"/>
      <c r="AN171" s="58"/>
      <c r="AO171" s="58"/>
      <c r="AP171" s="60"/>
    </row>
    <row r="172" spans="28:42" hidden="1" x14ac:dyDescent="0.4">
      <c r="AB172" s="58"/>
      <c r="AC172" s="58"/>
      <c r="AD172" s="58"/>
      <c r="AE172" s="58"/>
      <c r="AF172" s="59"/>
      <c r="AG172" s="59"/>
      <c r="AH172" s="59"/>
      <c r="AI172" s="58"/>
      <c r="AJ172" s="58"/>
      <c r="AK172" s="58"/>
      <c r="AL172" s="58"/>
      <c r="AM172" s="58"/>
      <c r="AN172" s="58"/>
      <c r="AO172" s="58"/>
      <c r="AP172" s="60"/>
    </row>
    <row r="173" spans="28:42" hidden="1" x14ac:dyDescent="0.4">
      <c r="AB173" s="58"/>
      <c r="AC173" s="58"/>
      <c r="AD173" s="58"/>
      <c r="AE173" s="58"/>
      <c r="AF173" s="59"/>
      <c r="AG173" s="59"/>
      <c r="AH173" s="59"/>
      <c r="AI173" s="58"/>
      <c r="AJ173" s="58"/>
      <c r="AK173" s="58"/>
      <c r="AL173" s="58"/>
      <c r="AM173" s="58"/>
      <c r="AN173" s="58"/>
      <c r="AO173" s="58"/>
      <c r="AP173" s="60"/>
    </row>
    <row r="174" spans="28:42" hidden="1" x14ac:dyDescent="0.4">
      <c r="AB174" s="58"/>
      <c r="AC174" s="58"/>
      <c r="AD174" s="58"/>
      <c r="AE174" s="58"/>
      <c r="AF174" s="59"/>
      <c r="AG174" s="59"/>
      <c r="AH174" s="59"/>
      <c r="AI174" s="58"/>
      <c r="AJ174" s="58"/>
      <c r="AK174" s="58"/>
      <c r="AL174" s="58"/>
      <c r="AM174" s="58"/>
      <c r="AN174" s="58"/>
      <c r="AO174" s="58"/>
      <c r="AP174" s="60"/>
    </row>
    <row r="175" spans="28:42" hidden="1" x14ac:dyDescent="0.4">
      <c r="AB175" s="58"/>
      <c r="AC175" s="58"/>
      <c r="AD175" s="58"/>
      <c r="AE175" s="58"/>
      <c r="AF175" s="59"/>
      <c r="AG175" s="59"/>
      <c r="AH175" s="59"/>
      <c r="AI175" s="58"/>
      <c r="AJ175" s="58"/>
      <c r="AK175" s="58"/>
      <c r="AL175" s="58"/>
      <c r="AM175" s="58"/>
      <c r="AN175" s="58"/>
      <c r="AO175" s="58"/>
      <c r="AP175" s="60"/>
    </row>
    <row r="176" spans="28:42" hidden="1" x14ac:dyDescent="0.4">
      <c r="AB176" s="58"/>
      <c r="AC176" s="58"/>
      <c r="AD176" s="58"/>
      <c r="AE176" s="58"/>
      <c r="AF176" s="59"/>
      <c r="AG176" s="59"/>
      <c r="AH176" s="59"/>
      <c r="AI176" s="58"/>
      <c r="AJ176" s="58"/>
      <c r="AK176" s="58"/>
      <c r="AL176" s="58"/>
      <c r="AM176" s="58"/>
      <c r="AN176" s="58"/>
      <c r="AO176" s="58"/>
      <c r="AP176" s="60"/>
    </row>
    <row r="177" spans="28:42" hidden="1" x14ac:dyDescent="0.4">
      <c r="AB177" s="58" t="s">
        <v>46</v>
      </c>
      <c r="AC177" s="58" t="s">
        <v>47</v>
      </c>
      <c r="AD177" s="58" t="s">
        <v>44</v>
      </c>
      <c r="AE177" s="58"/>
      <c r="AF177" s="59"/>
      <c r="AG177" s="59"/>
      <c r="AH177" s="59"/>
      <c r="AI177" s="58"/>
      <c r="AJ177" s="58"/>
      <c r="AK177" s="58"/>
      <c r="AL177" s="58"/>
      <c r="AM177" s="58"/>
      <c r="AN177" s="58"/>
      <c r="AO177" s="58"/>
      <c r="AP177" s="60"/>
    </row>
    <row r="178" spans="28:42" hidden="1" x14ac:dyDescent="0.4">
      <c r="AB178" s="58">
        <f>IF(DECoMA!H28 &gt; 0, DECoMA!H28, IF(DECoMA!F28 &gt; 25, ((DECoMA!C28+(DECoMA!D28*2)+DECoMA!E28)/4), (((DECoMA!C28+(DECoMA!D28*2)+DECoMA!E28)/4)+((DECoMA!C28-(DECoMA!D28*2)+DECoMA!E28)/4))))</f>
        <v>0.03</v>
      </c>
      <c r="AC178" s="58">
        <f>IF(DECoMA!F28 &gt; 70, ((DECoMA!E28-DECoMA!C28)/6), IF(DECoMA!F28 &gt;14, ((DECoMA!E28-DECoMA!C28)/4), SQRT((((((DECoMA!C28-(2*DECoMA!C30)+DECoMA!E28)^2)/4)+((DECoMA!E28-DECoMA!C28)^2))/12))))</f>
        <v>6.6666666666666671E-3</v>
      </c>
      <c r="AD178" s="58" t="e">
        <f ca="1">DECoMA!D30/SQRT(DECoMA!F28)</f>
        <v>#VALUE!</v>
      </c>
      <c r="AE178" s="58" t="s">
        <v>33</v>
      </c>
      <c r="AF178" s="59"/>
      <c r="AG178" s="59"/>
      <c r="AH178" s="59"/>
      <c r="AI178" s="58"/>
      <c r="AJ178" s="58"/>
      <c r="AK178" s="58"/>
      <c r="AL178" s="58"/>
      <c r="AM178" s="58"/>
      <c r="AN178" s="58"/>
      <c r="AO178" s="58"/>
      <c r="AP178" s="60"/>
    </row>
    <row r="179" spans="28:42" hidden="1" x14ac:dyDescent="0.4">
      <c r="AB179" s="58" t="s">
        <v>57</v>
      </c>
      <c r="AC179" s="58" t="s">
        <v>62</v>
      </c>
      <c r="AD179" s="58"/>
      <c r="AE179" s="58"/>
      <c r="AF179" s="59"/>
      <c r="AG179" s="59"/>
      <c r="AH179" s="59"/>
      <c r="AI179" s="58"/>
      <c r="AJ179" s="58"/>
      <c r="AK179" s="58"/>
      <c r="AL179" s="58"/>
      <c r="AM179" s="58"/>
      <c r="AN179" s="58"/>
      <c r="AO179" s="58"/>
      <c r="AP179" s="60"/>
    </row>
    <row r="180" spans="28:42" hidden="1" x14ac:dyDescent="0.4">
      <c r="AB180" s="58">
        <f>IF(DECoMA!H28="",((4/(4+(DECoMA!F28^0.75)))*((DECoMA!C28+DECoMA!E28)/2))+(((DECoMA!F28^0.75)/(4+(DECoMA!F28^0.75)))*DECoMA!D28),DECoMA!H28)</f>
        <v>0.03</v>
      </c>
      <c r="AC180" s="58">
        <f>IF(COUNTBLANK(DECoMA!C28:'DECoMA'!F28)&gt;0,"",(DECoMA!E28-DECoMA!C28)/(2*_xlfn.NORM.INV((DECoMA!F28-0.375)/(DECoMA!F28+0.25),0,1)))</f>
        <v>8.0045127490986807E-3</v>
      </c>
      <c r="AD180" s="58">
        <f>IF(COUNTBLANK(DECoMA!C28:'DECoMA'!F28)&gt;0,"",((DECoMA!E28-DECoMA!C28)/(2*_xlfn.NORM.INV((DECoMA!F28-0.375)/(DECoMA!F28+0.25),0,1)))/SQRT(DECoMA!F28))</f>
        <v>8.0045127490986807E-4</v>
      </c>
      <c r="AE180" s="58"/>
      <c r="AF180" s="59"/>
      <c r="AG180" s="59"/>
      <c r="AH180" s="59"/>
      <c r="AI180" s="58"/>
      <c r="AJ180" s="58"/>
      <c r="AK180" s="58"/>
      <c r="AL180" s="58"/>
      <c r="AM180" s="58"/>
      <c r="AN180" s="58"/>
      <c r="AO180" s="58"/>
      <c r="AP180" s="60"/>
    </row>
    <row r="181" spans="28:42" hidden="1" x14ac:dyDescent="0.4">
      <c r="AB181" s="58"/>
      <c r="AC181" s="58"/>
      <c r="AD181" s="58"/>
      <c r="AE181" s="58"/>
      <c r="AF181" s="59"/>
      <c r="AG181" s="59"/>
      <c r="AH181" s="59"/>
      <c r="AI181" s="58"/>
      <c r="AJ181" s="58"/>
      <c r="AK181" s="58"/>
      <c r="AL181" s="58"/>
      <c r="AM181" s="58"/>
      <c r="AN181" s="58"/>
      <c r="AO181" s="58"/>
      <c r="AP181" s="60"/>
    </row>
    <row r="182" spans="28:42" hidden="1" x14ac:dyDescent="0.4">
      <c r="AB182" s="58"/>
      <c r="AC182" s="58"/>
      <c r="AD182" s="58"/>
      <c r="AE182" s="58"/>
      <c r="AF182" s="59"/>
      <c r="AG182" s="59"/>
      <c r="AH182" s="59"/>
      <c r="AI182" s="58"/>
      <c r="AJ182" s="58"/>
      <c r="AK182" s="58"/>
      <c r="AL182" s="58"/>
      <c r="AM182" s="58"/>
      <c r="AN182" s="58"/>
      <c r="AO182" s="58"/>
      <c r="AP182" s="60"/>
    </row>
    <row r="183" spans="28:42" hidden="1" x14ac:dyDescent="0.4">
      <c r="AB183" s="58"/>
      <c r="AC183" s="58"/>
      <c r="AD183" s="58"/>
      <c r="AE183" s="58"/>
      <c r="AF183" s="59"/>
      <c r="AG183" s="59"/>
      <c r="AH183" s="59"/>
      <c r="AI183" s="58"/>
      <c r="AJ183" s="58"/>
      <c r="AK183" s="58"/>
      <c r="AL183" s="58"/>
      <c r="AM183" s="58"/>
      <c r="AN183" s="58"/>
      <c r="AO183" s="58"/>
      <c r="AP183" s="60"/>
    </row>
    <row r="184" spans="28:42" hidden="1" x14ac:dyDescent="0.4">
      <c r="AB184" s="58"/>
      <c r="AC184" s="58"/>
      <c r="AD184" s="58"/>
      <c r="AE184" s="58"/>
      <c r="AF184" s="59"/>
      <c r="AG184" s="59"/>
      <c r="AH184" s="59"/>
      <c r="AI184" s="58"/>
      <c r="AJ184" s="58"/>
      <c r="AK184" s="58"/>
      <c r="AL184" s="58"/>
      <c r="AM184" s="58"/>
      <c r="AN184" s="58"/>
      <c r="AO184" s="58"/>
      <c r="AP184" s="60"/>
    </row>
    <row r="185" spans="28:42" hidden="1" x14ac:dyDescent="0.4">
      <c r="AB185" s="58" t="s">
        <v>56</v>
      </c>
      <c r="AC185" s="58" t="s">
        <v>6</v>
      </c>
      <c r="AD185" s="58" t="s">
        <v>44</v>
      </c>
      <c r="AE185" s="58"/>
      <c r="AF185" s="59"/>
      <c r="AG185" s="59"/>
      <c r="AH185" s="59"/>
      <c r="AI185" s="58"/>
      <c r="AJ185" s="58"/>
      <c r="AK185" s="58"/>
      <c r="AL185" s="58"/>
      <c r="AM185" s="58"/>
      <c r="AN185" s="58"/>
      <c r="AO185" s="58"/>
      <c r="AP185" s="60"/>
    </row>
    <row r="186" spans="28:42" hidden="1" x14ac:dyDescent="0.4">
      <c r="AB186" s="58">
        <f>IF(DECoMA!H36="",(DECoMA!C36+DECoMA!E36+DECoMA!D36)/3,DECoMA!H36)</f>
        <v>0.03</v>
      </c>
      <c r="AC186" s="58">
        <f>(DECoMA!E36-DECoMA!C36)/1.35</f>
        <v>1.4814814814814814E-2</v>
      </c>
      <c r="AD186" s="58" t="e">
        <f ca="1">DECoMA!D38/SQRT(DECoMA!F36)</f>
        <v>#VALUE!</v>
      </c>
      <c r="AE186" s="58" t="s">
        <v>28</v>
      </c>
      <c r="AF186" s="59"/>
      <c r="AG186" s="59"/>
      <c r="AH186" s="59"/>
      <c r="AI186" s="58"/>
      <c r="AJ186" s="58"/>
      <c r="AK186" s="58"/>
      <c r="AL186" s="58"/>
      <c r="AM186" s="58"/>
      <c r="AN186" s="58"/>
      <c r="AO186" s="58"/>
      <c r="AP186" s="60"/>
    </row>
    <row r="187" spans="28:42" hidden="1" x14ac:dyDescent="0.4">
      <c r="AB187" s="58" t="s">
        <v>58</v>
      </c>
      <c r="AC187" s="58" t="s">
        <v>61</v>
      </c>
      <c r="AD187" s="58"/>
      <c r="AE187" s="58" t="s">
        <v>41</v>
      </c>
      <c r="AF187" s="59"/>
      <c r="AG187" s="59"/>
      <c r="AH187" s="59"/>
      <c r="AI187" s="58"/>
      <c r="AJ187" s="58"/>
      <c r="AK187" s="58"/>
      <c r="AL187" s="58"/>
      <c r="AM187" s="58"/>
      <c r="AN187" s="58"/>
      <c r="AO187" s="58"/>
      <c r="AP187" s="60"/>
    </row>
    <row r="188" spans="28:42" hidden="1" x14ac:dyDescent="0.4">
      <c r="AB188" s="58">
        <f>IFERROR(IF(DECoMA!H36="",((0.7-(0.39/DECoMA!F36))*((DECoMA!C36+DECoMA!E36)/2))+((0.3-(0.39/DECoMA!F36))*DECoMA!D36),DECoMA!H36),"Error")</f>
        <v>2.9765999999999997E-2</v>
      </c>
      <c r="AC188" s="58">
        <f>IF(COUNTBLANK(DECoMA!C36:'DECoMA'!F36)&gt;0,"",((DECoMA!E36-DECoMA!C36)/(2*_xlfn.NORM.INV((0.75*DECoMA!F36-0.125)/(DECoMA!F36+0.25),0,1))))</f>
        <v>1.5044098605240386E-2</v>
      </c>
      <c r="AD188" s="58">
        <f>IF(COUNTBLANK(DECoMA!C36:'DECoMA'!F36)&gt;0,"",((DECoMA!E36-DECoMA!C36)/(2*_xlfn.NORM.INV((0.75*DECoMA!F36-0.125)/(DECoMA!F36+0.25),0,1)))/SQRT(DECoMA!F36))</f>
        <v>1.5044098605240387E-3</v>
      </c>
      <c r="AE188" s="58"/>
      <c r="AF188" s="59"/>
      <c r="AG188" s="59"/>
      <c r="AH188" s="59"/>
      <c r="AI188" s="58"/>
      <c r="AJ188" s="58"/>
      <c r="AK188" s="58"/>
      <c r="AL188" s="58"/>
      <c r="AM188" s="58"/>
      <c r="AN188" s="58"/>
      <c r="AO188" s="58"/>
      <c r="AP188" s="60"/>
    </row>
    <row r="189" spans="28:42" hidden="1" x14ac:dyDescent="0.4">
      <c r="AB189" s="58"/>
      <c r="AC189" s="58"/>
      <c r="AD189" s="58"/>
      <c r="AE189" s="58"/>
      <c r="AF189" s="59"/>
      <c r="AG189" s="59"/>
      <c r="AH189" s="59"/>
      <c r="AI189" s="58"/>
      <c r="AJ189" s="58"/>
      <c r="AK189" s="58"/>
      <c r="AL189" s="58"/>
      <c r="AM189" s="58"/>
      <c r="AN189" s="58"/>
      <c r="AO189" s="58"/>
      <c r="AP189" s="60"/>
    </row>
    <row r="190" spans="28:42" hidden="1" x14ac:dyDescent="0.4">
      <c r="AB190" s="58"/>
      <c r="AC190" s="58"/>
      <c r="AD190" s="58"/>
      <c r="AE190" s="58"/>
      <c r="AF190" s="59"/>
      <c r="AG190" s="59"/>
      <c r="AH190" s="59"/>
      <c r="AI190" s="58"/>
      <c r="AJ190" s="58"/>
      <c r="AK190" s="58"/>
      <c r="AL190" s="58"/>
      <c r="AM190" s="58"/>
      <c r="AN190" s="58"/>
      <c r="AO190" s="58"/>
      <c r="AP190" s="60"/>
    </row>
    <row r="191" spans="28:42" hidden="1" x14ac:dyDescent="0.4">
      <c r="AB191" s="58"/>
      <c r="AC191" s="58"/>
      <c r="AD191" s="58"/>
      <c r="AE191" s="58"/>
      <c r="AF191" s="59"/>
      <c r="AG191" s="59"/>
      <c r="AH191" s="59"/>
      <c r="AI191" s="58"/>
      <c r="AJ191" s="58"/>
      <c r="AK191" s="58"/>
      <c r="AL191" s="58"/>
      <c r="AM191" s="58"/>
      <c r="AN191" s="58"/>
      <c r="AO191" s="58"/>
      <c r="AP191" s="60"/>
    </row>
    <row r="192" spans="28:42" hidden="1" x14ac:dyDescent="0.4">
      <c r="AB192" s="58"/>
      <c r="AC192" s="58"/>
      <c r="AD192" s="58"/>
      <c r="AE192" s="58"/>
      <c r="AF192" s="59"/>
      <c r="AG192" s="59"/>
      <c r="AH192" s="59"/>
      <c r="AI192" s="58"/>
      <c r="AJ192" s="58"/>
      <c r="AK192" s="58"/>
      <c r="AL192" s="58"/>
      <c r="AM192" s="58"/>
      <c r="AN192" s="58"/>
      <c r="AO192" s="58"/>
      <c r="AP192" s="60"/>
    </row>
    <row r="193" spans="28:42" hidden="1" x14ac:dyDescent="0.4">
      <c r="AB193" s="58" t="s">
        <v>46</v>
      </c>
      <c r="AC193" s="58" t="s">
        <v>47</v>
      </c>
      <c r="AD193" s="58" t="s">
        <v>1</v>
      </c>
      <c r="AE193" s="58"/>
      <c r="AF193" s="59"/>
      <c r="AG193" s="59"/>
      <c r="AH193" s="59"/>
      <c r="AI193" s="58"/>
      <c r="AJ193" s="58"/>
      <c r="AK193" s="58"/>
      <c r="AL193" s="58"/>
      <c r="AM193" s="58"/>
      <c r="AN193" s="58"/>
      <c r="AO193" s="58"/>
      <c r="AP193" s="60"/>
    </row>
    <row r="194" spans="28:42" hidden="1" x14ac:dyDescent="0.4">
      <c r="AB194" s="58">
        <f>IF(DECoMA!F44 &gt; 0, DECoMA!F44, IF(DECoMA!H44 &gt; 25, ((DECoMA!C44+(DECoMA!E44*2)+DECoMA!G44)/4), (((DECoMA!C44+(DECoMA!E44*2)+DECoMA!G44)/4)+((DECoMA!C44-(DECoMA!E44*2)+DECoMA!G44)/4))))</f>
        <v>0.04</v>
      </c>
      <c r="AC194" s="58">
        <f>IF(DECoMA!H44 &gt; 70, ((DECoMA!G44-DECoMA!C44)/6), IF(DECoMA!H44 &gt;14, ((DECoMA!G44-DECoMA!C44)/4), SQRT((((((DECoMA!C44-(2*DECoMA!C46)+DECoMA!G44)^2)/4)+((DECoMA!G44-DECoMA!C44)^2))/12))))</f>
        <v>6.6666666666666671E-3</v>
      </c>
      <c r="AD194" s="58" t="e">
        <f ca="1">DECoMA!D46/SQRT(DECoMA!H44)</f>
        <v>#VALUE!</v>
      </c>
      <c r="AE194" s="58" t="s">
        <v>33</v>
      </c>
      <c r="AF194" s="59"/>
      <c r="AG194" s="59"/>
      <c r="AH194" s="59"/>
      <c r="AI194" s="58"/>
      <c r="AJ194" s="58"/>
      <c r="AK194" s="58"/>
      <c r="AL194" s="58"/>
      <c r="AM194" s="58"/>
      <c r="AN194" s="58"/>
      <c r="AO194" s="58"/>
      <c r="AP194" s="60"/>
    </row>
    <row r="195" spans="28:42" hidden="1" x14ac:dyDescent="0.4">
      <c r="AB195" s="58" t="s">
        <v>59</v>
      </c>
      <c r="AC195" s="58" t="s">
        <v>60</v>
      </c>
      <c r="AD195" s="58"/>
      <c r="AE195" s="58"/>
      <c r="AF195" s="59"/>
      <c r="AG195" s="59"/>
      <c r="AH195" s="59"/>
      <c r="AI195" s="58"/>
      <c r="AJ195" s="58"/>
      <c r="AK195" s="58"/>
      <c r="AL195" s="58"/>
      <c r="AM195" s="58"/>
      <c r="AN195" s="58"/>
      <c r="AO195" s="58"/>
      <c r="AP195" s="60"/>
    </row>
    <row r="196" spans="28:42" hidden="1" x14ac:dyDescent="0.4">
      <c r="AB196" s="58">
        <f>IF(DECoMA!H46="",((2.2/(2.2+(DECoMA!H44^0.75)))*((DECoMA!C44+DECoMA!G44)/2))+((0.7-(0.72/(DECoMA!H44^0.55)))*((DECoMA!D44+DECoMA!F44)/2))+((0.3+(0.72/(DECoMA!H44^0.55))-(2.2/(2.2+(DECoMA!H44^0.75))))*DECoMA!E44),DECoMA!H46)</f>
        <v>2.9999999999999995E-2</v>
      </c>
      <c r="AC196" s="58">
        <f>IF(COUNTBLANK(DECoMA!C44:'DECoMA'!H44)&gt;0,"",((DECoMA!G44-DECoMA!C44)/(4*_xlfn.NORM.INV((DECoMA!H44-0.375)/(DECoMA!H44+0.25),0,1))) + ((DECoMA!F44-DECoMA!D44)/(4*_xlfn.NORM.INV((0.75*DECoMA!H44-0.125)/(DECoMA!H44+0.25),0,1))))</f>
        <v>1.1524305677169534E-2</v>
      </c>
      <c r="AD196" s="58">
        <f>IF(COUNTBLANK(DECoMA!C44:'DECoMA'!H44)&gt;0,"",(((DECoMA!G44-DECoMA!C44)/(4*_xlfn.NORM.INV((DECoMA!H44-0.375)/(DECoMA!H44+0.25),0,1))) + ((DECoMA!F44-DECoMA!D44)/(4*_xlfn.NORM.INV((0.75*DECoMA!H44-0.125)/(DECoMA!H44+0.25),0,1))))/SQRT(DECoMA!H44))</f>
        <v>1.1524305677169534E-3</v>
      </c>
      <c r="AE196" s="58"/>
      <c r="AF196" s="59"/>
      <c r="AG196" s="59"/>
      <c r="AH196" s="59"/>
      <c r="AI196" s="58"/>
      <c r="AJ196" s="58"/>
      <c r="AK196" s="58"/>
      <c r="AL196" s="58"/>
      <c r="AM196" s="58"/>
      <c r="AN196" s="58"/>
      <c r="AO196" s="58"/>
      <c r="AP196" s="60"/>
    </row>
    <row r="197" spans="28:42" hidden="1" x14ac:dyDescent="0.4">
      <c r="AB197" s="58"/>
      <c r="AC197" s="58"/>
      <c r="AD197" s="58"/>
      <c r="AE197" s="58"/>
      <c r="AF197" s="59"/>
      <c r="AG197" s="59"/>
      <c r="AH197" s="59"/>
      <c r="AI197" s="58"/>
      <c r="AJ197" s="58"/>
      <c r="AK197" s="58"/>
      <c r="AL197" s="58"/>
      <c r="AM197" s="58"/>
      <c r="AN197" s="58"/>
      <c r="AO197" s="58"/>
      <c r="AP197" s="60"/>
    </row>
    <row r="198" spans="28:42" hidden="1" x14ac:dyDescent="0.4">
      <c r="AB198" s="58"/>
      <c r="AC198" s="58"/>
      <c r="AD198" s="58"/>
      <c r="AE198" s="58"/>
      <c r="AF198" s="59"/>
      <c r="AG198" s="59"/>
      <c r="AH198" s="59"/>
      <c r="AI198" s="58"/>
      <c r="AJ198" s="58"/>
      <c r="AK198" s="58"/>
      <c r="AL198" s="58"/>
      <c r="AM198" s="58"/>
      <c r="AN198" s="58"/>
      <c r="AO198" s="58"/>
      <c r="AP198" s="60"/>
    </row>
    <row r="199" spans="28:42" hidden="1" x14ac:dyDescent="0.4">
      <c r="AB199" s="58"/>
      <c r="AC199" s="58"/>
      <c r="AD199" s="58"/>
      <c r="AE199" s="58"/>
      <c r="AF199" s="59"/>
      <c r="AG199" s="59"/>
      <c r="AH199" s="59"/>
      <c r="AI199" s="58"/>
      <c r="AJ199" s="58"/>
      <c r="AK199" s="58"/>
      <c r="AL199" s="58"/>
      <c r="AM199" s="58"/>
      <c r="AN199" s="58"/>
      <c r="AO199" s="58"/>
      <c r="AP199" s="60"/>
    </row>
    <row r="200" spans="28:42" hidden="1" x14ac:dyDescent="0.4">
      <c r="AB200" s="58"/>
      <c r="AC200" s="58"/>
      <c r="AD200" s="58"/>
      <c r="AE200" s="58"/>
      <c r="AF200" s="59"/>
      <c r="AG200" s="59"/>
      <c r="AH200" s="59"/>
      <c r="AI200" s="58"/>
      <c r="AJ200" s="58"/>
      <c r="AK200" s="58"/>
      <c r="AL200" s="58"/>
      <c r="AM200" s="58"/>
      <c r="AN200" s="58"/>
      <c r="AO200" s="58"/>
      <c r="AP200" s="60"/>
    </row>
    <row r="201" spans="28:42" hidden="1" x14ac:dyDescent="0.4">
      <c r="AB201" s="58" t="s">
        <v>46</v>
      </c>
      <c r="AC201" s="58" t="s">
        <v>47</v>
      </c>
      <c r="AD201" s="58" t="s">
        <v>1</v>
      </c>
      <c r="AE201" s="58"/>
      <c r="AF201" s="59"/>
      <c r="AG201" s="59"/>
      <c r="AH201" s="59"/>
      <c r="AI201" s="58"/>
      <c r="AJ201" s="58"/>
      <c r="AK201" s="58"/>
      <c r="AL201" s="58"/>
      <c r="AM201" s="58"/>
      <c r="AN201" s="58"/>
      <c r="AO201" s="58"/>
      <c r="AP201" s="60"/>
    </row>
    <row r="202" spans="28:42" hidden="1" x14ac:dyDescent="0.4">
      <c r="AB202" s="58">
        <f>IF(DECoMA!H52="", IF(DECoMA!D52="","",DECoMA!D52),DECoMA!H52)</f>
        <v>0.03</v>
      </c>
      <c r="AC202" s="58">
        <f>IF(DECoMA!E52 &lt; 70, IF(DECoMA!E52 &gt;14, (DECoMA!C52/4), "N/A"), (DECoMA!C52/6))</f>
        <v>6.6666666666666671E-3</v>
      </c>
      <c r="AD202" s="58">
        <f>IF(DECoMA!E52 &lt; 70, IF(DECoMA!E52 &gt;14, (DECoMA!C52/4)*SQRT(DECoMA!E52), "N/A"), (DECoMA!C52/6)*SQRT(DECoMA!E52))</f>
        <v>6.6666666666666666E-2</v>
      </c>
      <c r="AE202" s="58" t="s">
        <v>33</v>
      </c>
      <c r="AF202" s="59"/>
      <c r="AG202" s="59"/>
      <c r="AH202" s="59"/>
      <c r="AI202" s="58"/>
      <c r="AJ202" s="58"/>
      <c r="AK202" s="58"/>
      <c r="AL202" s="58"/>
      <c r="AM202" s="58"/>
      <c r="AN202" s="58"/>
      <c r="AO202" s="58"/>
      <c r="AP202" s="60"/>
    </row>
    <row r="203" spans="28:42" hidden="1" x14ac:dyDescent="0.4">
      <c r="AB203" s="58" t="s">
        <v>57</v>
      </c>
      <c r="AC203" s="58" t="s">
        <v>62</v>
      </c>
      <c r="AD203" s="58"/>
      <c r="AE203" s="58"/>
      <c r="AF203" s="59"/>
      <c r="AG203" s="59"/>
      <c r="AH203" s="59"/>
      <c r="AI203" s="58"/>
      <c r="AJ203" s="58"/>
      <c r="AK203" s="58"/>
      <c r="AL203" s="58"/>
      <c r="AM203" s="58"/>
      <c r="AN203" s="58"/>
      <c r="AO203" s="58"/>
      <c r="AP203" s="60"/>
    </row>
    <row r="204" spans="28:42" hidden="1" x14ac:dyDescent="0.4">
      <c r="AB204" s="58">
        <f>IF(DECoMA!H52="", IF(DECoMA!D52="","",DECoMA!D52),DECoMA!H52)</f>
        <v>0.03</v>
      </c>
      <c r="AC204" s="58">
        <f>IF(COUNTBLANK(DECoMA!C52:'DECoMA'!E52)&gt;0,"",(DECoMA!C52)/(2*_xlfn.NORM.INV((DECoMA!E52-0.375)/(DECoMA!E52+0.25),0,1)))</f>
        <v>8.0045127490986807E-3</v>
      </c>
      <c r="AD204" s="58">
        <f>IF(COUNTBLANK(DECoMA!C52:'DECoMA'!E52)&gt;0,"",(DECoMA!C52)/(2*_xlfn.NORM.INV((DECoMA!E52-0.375)/(DECoMA!E52+0.25),0,1))/SQRT(DECoMA!E52))</f>
        <v>8.0045127490986807E-4</v>
      </c>
      <c r="AE204" s="58"/>
      <c r="AF204" s="59"/>
      <c r="AG204" s="59"/>
      <c r="AH204" s="59"/>
      <c r="AI204" s="58"/>
      <c r="AJ204" s="58"/>
      <c r="AK204" s="58"/>
      <c r="AL204" s="58"/>
      <c r="AM204" s="58"/>
      <c r="AN204" s="58"/>
      <c r="AO204" s="58"/>
      <c r="AP204" s="60"/>
    </row>
    <row r="205" spans="28:42" hidden="1" x14ac:dyDescent="0.4">
      <c r="AB205" s="58"/>
      <c r="AC205" s="58"/>
      <c r="AD205" s="58"/>
      <c r="AE205" s="58"/>
      <c r="AF205" s="59"/>
      <c r="AG205" s="59"/>
      <c r="AH205" s="59"/>
      <c r="AI205" s="58"/>
      <c r="AJ205" s="58"/>
      <c r="AK205" s="58"/>
      <c r="AL205" s="58"/>
      <c r="AM205" s="58"/>
      <c r="AN205" s="58"/>
      <c r="AO205" s="58"/>
      <c r="AP205" s="60"/>
    </row>
    <row r="206" spans="28:42" hidden="1" x14ac:dyDescent="0.4">
      <c r="AB206" s="58"/>
      <c r="AC206" s="58"/>
      <c r="AD206" s="58"/>
      <c r="AE206" s="58"/>
      <c r="AF206" s="59"/>
      <c r="AG206" s="59"/>
      <c r="AH206" s="59"/>
      <c r="AI206" s="58"/>
      <c r="AJ206" s="58"/>
      <c r="AK206" s="58"/>
      <c r="AL206" s="58"/>
      <c r="AM206" s="58"/>
      <c r="AN206" s="58"/>
      <c r="AO206" s="58"/>
      <c r="AP206" s="60"/>
    </row>
    <row r="207" spans="28:42" hidden="1" x14ac:dyDescent="0.4">
      <c r="AB207" s="58"/>
      <c r="AC207" s="58"/>
      <c r="AD207" s="58"/>
      <c r="AE207" s="58"/>
      <c r="AF207" s="59"/>
      <c r="AG207" s="59"/>
      <c r="AH207" s="59"/>
      <c r="AI207" s="58"/>
      <c r="AJ207" s="58"/>
      <c r="AK207" s="58"/>
      <c r="AL207" s="58"/>
      <c r="AM207" s="58"/>
      <c r="AN207" s="58"/>
      <c r="AO207" s="58"/>
      <c r="AP207" s="60"/>
    </row>
    <row r="208" spans="28:42" hidden="1" x14ac:dyDescent="0.4">
      <c r="AB208" s="58"/>
      <c r="AC208" s="58"/>
      <c r="AD208" s="58"/>
      <c r="AE208" s="58"/>
      <c r="AF208" s="59"/>
      <c r="AG208" s="59"/>
      <c r="AH208" s="59"/>
      <c r="AI208" s="58"/>
      <c r="AJ208" s="58"/>
      <c r="AK208" s="58"/>
      <c r="AL208" s="58"/>
      <c r="AM208" s="58"/>
      <c r="AN208" s="58"/>
      <c r="AO208" s="58"/>
      <c r="AP208" s="60"/>
    </row>
    <row r="209" spans="28:42" hidden="1" x14ac:dyDescent="0.4">
      <c r="AB209" s="58" t="s">
        <v>46</v>
      </c>
      <c r="AC209" s="58" t="s">
        <v>47</v>
      </c>
      <c r="AD209" s="58" t="s">
        <v>1</v>
      </c>
      <c r="AE209" s="58"/>
      <c r="AF209" s="59"/>
      <c r="AG209" s="59"/>
      <c r="AH209" s="59"/>
      <c r="AI209" s="58"/>
      <c r="AJ209" s="58"/>
      <c r="AK209" s="58"/>
      <c r="AL209" s="58"/>
      <c r="AM209" s="58"/>
      <c r="AN209" s="58"/>
      <c r="AO209" s="58"/>
      <c r="AP209" s="60"/>
    </row>
    <row r="210" spans="28:42" hidden="1" x14ac:dyDescent="0.4">
      <c r="AB210" s="58">
        <f>IF(DECoMA!H60="", IF(DECoMA!D60="","",DECoMA!D60),DECoMA!H60)</f>
        <v>0.03</v>
      </c>
      <c r="AC210" s="58">
        <f>DECoMA!C60/1.35</f>
        <v>7.4074074074074068E-3</v>
      </c>
      <c r="AD210" s="58">
        <f>(DECoMA!C60/1.35)*SQRT(DECoMA!E60)</f>
        <v>7.407407407407407E-2</v>
      </c>
      <c r="AE210" s="58" t="s">
        <v>33</v>
      </c>
      <c r="AF210" s="59"/>
      <c r="AG210" s="59"/>
      <c r="AH210" s="59"/>
      <c r="AI210" s="58"/>
      <c r="AJ210" s="58"/>
      <c r="AK210" s="58"/>
      <c r="AL210" s="58"/>
      <c r="AM210" s="58"/>
      <c r="AN210" s="58"/>
      <c r="AO210" s="58"/>
      <c r="AP210" s="60"/>
    </row>
    <row r="211" spans="28:42" hidden="1" x14ac:dyDescent="0.4">
      <c r="AB211" s="58"/>
      <c r="AC211" s="58" t="s">
        <v>70</v>
      </c>
      <c r="AD211" s="58" t="s">
        <v>1</v>
      </c>
      <c r="AE211" s="58"/>
      <c r="AF211" s="59"/>
      <c r="AG211" s="59"/>
      <c r="AH211" s="59"/>
      <c r="AI211" s="58"/>
      <c r="AJ211" s="58"/>
      <c r="AK211" s="58"/>
      <c r="AL211" s="58"/>
      <c r="AM211" s="58"/>
      <c r="AN211" s="58"/>
      <c r="AO211" s="58"/>
      <c r="AP211" s="60"/>
    </row>
    <row r="212" spans="28:42" hidden="1" x14ac:dyDescent="0.4">
      <c r="AB212" s="58"/>
      <c r="AC212" s="58">
        <f>IF(COUNTBLANK(DECoMA!C60:'DECoMA'!E60)&gt;0,"",DECoMA!C60/(2*_xlfn.NORM.INV((0.75*DECoMA!E60-0.125)/(DECoMA!E60+0.25),0,1)))</f>
        <v>7.5220493026201931E-3</v>
      </c>
      <c r="AD212" s="58">
        <f>IF(COUNTBLANK(DECoMA!C60:'DECoMA'!E60)&gt;0,"",DECoMA!C60/(2*_xlfn.NORM.INV((0.75*DECoMA!E60-0.125)/(DECoMA!E60+0.25),0,1))/SQRT(DECoMA!E60))</f>
        <v>7.5220493026201935E-4</v>
      </c>
      <c r="AE212" s="58"/>
      <c r="AF212" s="59"/>
      <c r="AG212" s="59"/>
      <c r="AH212" s="59"/>
      <c r="AI212" s="58"/>
      <c r="AJ212" s="58"/>
      <c r="AK212" s="58"/>
      <c r="AL212" s="58"/>
      <c r="AM212" s="58"/>
      <c r="AN212" s="58"/>
      <c r="AO212" s="58"/>
      <c r="AP212" s="60"/>
    </row>
    <row r="213" spans="28:42" hidden="1" x14ac:dyDescent="0.4">
      <c r="AB213" s="58"/>
      <c r="AC213" s="58"/>
      <c r="AD213" s="58"/>
      <c r="AE213" s="58"/>
      <c r="AF213" s="59"/>
      <c r="AG213" s="59"/>
      <c r="AH213" s="59"/>
      <c r="AI213" s="58"/>
      <c r="AJ213" s="58"/>
      <c r="AK213" s="58"/>
      <c r="AL213" s="58"/>
      <c r="AM213" s="58"/>
      <c r="AN213" s="58"/>
      <c r="AO213" s="58"/>
      <c r="AP213" s="60"/>
    </row>
    <row r="214" spans="28:42" hidden="1" x14ac:dyDescent="0.4">
      <c r="AB214" s="58"/>
      <c r="AC214" s="58"/>
      <c r="AD214" s="58"/>
      <c r="AE214" s="58"/>
      <c r="AF214" s="59"/>
      <c r="AG214" s="59"/>
      <c r="AH214" s="59"/>
      <c r="AI214" s="58"/>
      <c r="AJ214" s="58"/>
      <c r="AK214" s="58"/>
      <c r="AL214" s="58"/>
      <c r="AM214" s="58"/>
      <c r="AN214" s="58"/>
      <c r="AO214" s="58"/>
      <c r="AP214" s="60"/>
    </row>
    <row r="215" spans="28:42" hidden="1" x14ac:dyDescent="0.4">
      <c r="AB215" s="58"/>
      <c r="AC215" s="58"/>
      <c r="AD215" s="58"/>
      <c r="AE215" s="58"/>
      <c r="AF215" s="59"/>
      <c r="AG215" s="59"/>
      <c r="AH215" s="59"/>
      <c r="AI215" s="58"/>
      <c r="AJ215" s="58"/>
      <c r="AK215" s="58"/>
      <c r="AL215" s="58"/>
      <c r="AM215" s="58"/>
      <c r="AN215" s="58"/>
      <c r="AO215" s="58"/>
      <c r="AP215" s="60"/>
    </row>
    <row r="216" spans="28:42" hidden="1" x14ac:dyDescent="0.4">
      <c r="AB216" s="58"/>
      <c r="AC216" s="58"/>
      <c r="AD216" s="58"/>
      <c r="AE216" s="58"/>
      <c r="AF216" s="59"/>
      <c r="AG216" s="59"/>
      <c r="AH216" s="59"/>
      <c r="AI216" s="58"/>
      <c r="AJ216" s="58"/>
      <c r="AK216" s="58"/>
      <c r="AL216" s="58"/>
      <c r="AM216" s="58"/>
      <c r="AN216" s="58"/>
      <c r="AO216" s="58"/>
      <c r="AP216" s="60"/>
    </row>
    <row r="217" spans="28:42" hidden="1" x14ac:dyDescent="0.4">
      <c r="AB217" s="58"/>
      <c r="AC217" s="58"/>
      <c r="AD217" s="58"/>
      <c r="AE217" s="58"/>
      <c r="AF217" s="59"/>
      <c r="AG217" s="59"/>
      <c r="AH217" s="59"/>
      <c r="AI217" s="58"/>
      <c r="AJ217" s="58"/>
      <c r="AK217" s="58"/>
      <c r="AL217" s="58"/>
      <c r="AM217" s="58"/>
      <c r="AN217" s="58"/>
      <c r="AO217" s="58"/>
      <c r="AP217" s="60"/>
    </row>
    <row r="218" spans="28:42" hidden="1" x14ac:dyDescent="0.4">
      <c r="AB218" s="58" t="s">
        <v>7</v>
      </c>
      <c r="AC218" s="58" t="s">
        <v>6</v>
      </c>
      <c r="AD218" s="58" t="s">
        <v>71</v>
      </c>
      <c r="AE218" s="58"/>
      <c r="AF218" s="59"/>
      <c r="AG218" s="59"/>
      <c r="AH218" s="59"/>
      <c r="AI218" s="58"/>
      <c r="AJ218" s="58"/>
      <c r="AK218" s="58"/>
      <c r="AL218" s="58"/>
      <c r="AM218" s="58"/>
      <c r="AN218" s="58"/>
      <c r="AO218" s="58"/>
      <c r="AP218" s="60"/>
    </row>
    <row r="219" spans="28:42" hidden="1" x14ac:dyDescent="0.4">
      <c r="AB219" s="58">
        <f>((DECoMA!C69*DECoMA!E69)+(DECoMA!F69*DECoMA!H69))/(DECoMA!E69+DECoMA!H69)</f>
        <v>0.44736842105263158</v>
      </c>
      <c r="AC219" s="58">
        <f>IF(COUNTBLANK(DECoMA!C69:'DECoMA'!H69)&gt;0,"",IF(DECoMA!H71="Cohen",SQRT((((DECoMA!E69-1)*(DECoMA!D69^2))+((DECoMA!H69-1)*(DECoMA!G69^2)))/(DECoMA!E69+DECoMA!H69-2)), SQRT((((DECoMA!E69-1)*(DECoMA!D69^2))+((DECoMA!H69-1)*(DECoMA!G69^2))+(((DECoMA!E69*DECoMA!H69)/(DECoMA!E69+DECoMA!H69))*((DECoMA!C69^2)+(DECoMA!F69^2)-(2*DECoMA!C69*DECoMA!F69))))/(DECoMA!E69+DECoMA!H69-1))))</f>
        <v>0.5162777257043728</v>
      </c>
      <c r="AD219" s="58">
        <f>IF(COUNTBLANK(DECoMA!C69:'DECoMA'!H69)&gt;0,"",SQRT((((DECoMA!E69-1)*(DECoMA!D69^2))+((DECoMA!H69-1)*(DECoMA!G69^2)))/(DECoMA!E69+DECoMA!H69-2))/SQRT(DECoMA!E69+DECoMA!H69))</f>
        <v>0.11253344875983887</v>
      </c>
      <c r="AE219" s="58" t="s">
        <v>29</v>
      </c>
      <c r="AF219" s="59"/>
      <c r="AG219" s="59"/>
      <c r="AH219" s="59"/>
      <c r="AI219" s="58"/>
      <c r="AJ219" s="58"/>
      <c r="AK219" s="58"/>
      <c r="AL219" s="58"/>
      <c r="AM219" s="58"/>
      <c r="AN219" s="58"/>
      <c r="AO219" s="58"/>
      <c r="AP219" s="60"/>
    </row>
    <row r="220" spans="28:42" hidden="1" x14ac:dyDescent="0.4">
      <c r="AB220" s="58"/>
      <c r="AC220" s="58"/>
      <c r="AD220" s="58"/>
      <c r="AE220" s="58"/>
      <c r="AF220" s="59"/>
      <c r="AG220" s="59"/>
      <c r="AH220" s="59"/>
      <c r="AI220" s="58"/>
      <c r="AJ220" s="58"/>
      <c r="AK220" s="58"/>
      <c r="AL220" s="58"/>
      <c r="AM220" s="58"/>
      <c r="AN220" s="58"/>
      <c r="AO220" s="58"/>
      <c r="AP220" s="60"/>
    </row>
    <row r="221" spans="28:42" hidden="1" x14ac:dyDescent="0.4">
      <c r="AB221" s="58"/>
      <c r="AC221" s="58"/>
      <c r="AD221" s="58"/>
      <c r="AE221" s="58"/>
      <c r="AF221" s="59"/>
      <c r="AG221" s="59"/>
      <c r="AH221" s="59"/>
      <c r="AI221" s="58"/>
      <c r="AJ221" s="58"/>
      <c r="AK221" s="58"/>
      <c r="AL221" s="58"/>
      <c r="AM221" s="58"/>
      <c r="AN221" s="58"/>
      <c r="AO221" s="58"/>
      <c r="AP221" s="60"/>
    </row>
    <row r="222" spans="28:42" hidden="1" x14ac:dyDescent="0.4">
      <c r="AB222" s="58"/>
      <c r="AC222" s="58"/>
      <c r="AD222" s="58"/>
      <c r="AE222" s="58"/>
      <c r="AF222" s="59"/>
      <c r="AG222" s="59"/>
      <c r="AH222" s="59"/>
      <c r="AI222" s="58"/>
      <c r="AJ222" s="58"/>
      <c r="AK222" s="58"/>
      <c r="AL222" s="58"/>
      <c r="AM222" s="58"/>
      <c r="AN222" s="58"/>
      <c r="AO222" s="58"/>
      <c r="AP222" s="60"/>
    </row>
    <row r="223" spans="28:42" hidden="1" x14ac:dyDescent="0.4">
      <c r="AB223" s="58"/>
      <c r="AC223" s="58"/>
      <c r="AD223" s="58"/>
      <c r="AE223" s="58"/>
      <c r="AF223" s="59"/>
      <c r="AG223" s="59"/>
      <c r="AH223" s="59"/>
      <c r="AI223" s="58"/>
      <c r="AJ223" s="58"/>
      <c r="AK223" s="58"/>
      <c r="AL223" s="58"/>
      <c r="AM223" s="58"/>
      <c r="AN223" s="58"/>
      <c r="AO223" s="58"/>
      <c r="AP223" s="60"/>
    </row>
    <row r="224" spans="28:42" hidden="1" x14ac:dyDescent="0.4">
      <c r="AB224" s="58"/>
      <c r="AC224" s="58"/>
      <c r="AD224" s="58"/>
      <c r="AE224" s="58"/>
      <c r="AF224" s="59"/>
      <c r="AG224" s="59"/>
      <c r="AH224" s="59"/>
      <c r="AI224" s="58"/>
      <c r="AJ224" s="58"/>
      <c r="AK224" s="58"/>
      <c r="AL224" s="58"/>
      <c r="AM224" s="58"/>
      <c r="AN224" s="58"/>
      <c r="AO224" s="58"/>
      <c r="AP224" s="60"/>
    </row>
    <row r="225" spans="28:42" hidden="1" x14ac:dyDescent="0.4">
      <c r="AB225" s="58"/>
      <c r="AC225" s="58"/>
      <c r="AD225" s="58"/>
      <c r="AE225" s="58"/>
      <c r="AF225" s="59"/>
      <c r="AG225" s="59"/>
      <c r="AH225" s="59"/>
      <c r="AI225" s="58"/>
      <c r="AJ225" s="58"/>
      <c r="AK225" s="58"/>
      <c r="AL225" s="58"/>
      <c r="AM225" s="58"/>
      <c r="AN225" s="58"/>
      <c r="AO225" s="58"/>
      <c r="AP225" s="60"/>
    </row>
    <row r="226" spans="28:42" hidden="1" x14ac:dyDescent="0.4">
      <c r="AB226" s="58"/>
      <c r="AC226" s="58"/>
      <c r="AD226" s="58"/>
      <c r="AE226" s="58"/>
      <c r="AF226" s="59"/>
      <c r="AG226" s="59"/>
      <c r="AH226" s="59"/>
      <c r="AI226" s="58"/>
      <c r="AJ226" s="58"/>
      <c r="AK226" s="58"/>
      <c r="AL226" s="58"/>
      <c r="AM226" s="58"/>
      <c r="AN226" s="58"/>
      <c r="AO226" s="58"/>
      <c r="AP226" s="60"/>
    </row>
    <row r="227" spans="28:42" hidden="1" x14ac:dyDescent="0.4">
      <c r="AB227" s="58"/>
      <c r="AC227" s="58"/>
      <c r="AD227" s="58"/>
      <c r="AE227" s="58"/>
      <c r="AF227" s="59"/>
      <c r="AG227" s="59"/>
      <c r="AH227" s="59"/>
      <c r="AI227" s="58"/>
      <c r="AJ227" s="58"/>
      <c r="AK227" s="58"/>
      <c r="AL227" s="58"/>
      <c r="AM227" s="58"/>
      <c r="AN227" s="58"/>
      <c r="AO227" s="58"/>
      <c r="AP227" s="60"/>
    </row>
    <row r="228" spans="28:42" hidden="1" x14ac:dyDescent="0.4">
      <c r="AB228" s="58"/>
      <c r="AC228" s="58"/>
      <c r="AD228" s="58"/>
      <c r="AE228" s="58"/>
      <c r="AF228" s="59"/>
      <c r="AG228" s="59"/>
      <c r="AH228" s="59"/>
      <c r="AI228" s="58"/>
      <c r="AJ228" s="58"/>
      <c r="AK228" s="58"/>
      <c r="AL228" s="58"/>
      <c r="AM228" s="58"/>
      <c r="AN228" s="58"/>
      <c r="AO228" s="58"/>
      <c r="AP228" s="60"/>
    </row>
    <row r="229" spans="28:42" hidden="1" x14ac:dyDescent="0.4">
      <c r="AB229" s="58" t="s">
        <v>4</v>
      </c>
      <c r="AC229" s="58" t="s">
        <v>4</v>
      </c>
      <c r="AD229" s="58"/>
      <c r="AE229" s="58"/>
      <c r="AF229" s="59"/>
      <c r="AG229" s="59"/>
      <c r="AH229" s="59"/>
      <c r="AI229" s="58"/>
      <c r="AJ229" s="58"/>
      <c r="AK229" s="58"/>
      <c r="AL229" s="58"/>
      <c r="AM229" s="58"/>
      <c r="AN229" s="58"/>
      <c r="AO229" s="58"/>
      <c r="AP229" s="60"/>
    </row>
    <row r="230" spans="28:42" hidden="1" x14ac:dyDescent="0.4">
      <c r="AB230" s="58">
        <f>(((DECoMA!C80^2)+(DECoMA!D80^2)-(DECoMA!E80^2))/(2*DECoMA!C80*DECoMA!D80))</f>
        <v>0.78257042253521136</v>
      </c>
      <c r="AC230" s="58">
        <f>(((DECoMA!G80^2)+(DECoMA!H80^2)-(DECoMA!I80^2))/(2*DECoMA!G80*DECoMA!H80))</f>
        <v>0.81749482401656326</v>
      </c>
      <c r="AD230" s="58"/>
      <c r="AE230" s="58"/>
      <c r="AF230" s="59"/>
      <c r="AG230" s="59"/>
      <c r="AH230" s="59"/>
      <c r="AI230" s="58"/>
      <c r="AJ230" s="58"/>
      <c r="AK230" s="58"/>
      <c r="AL230" s="58"/>
      <c r="AM230" s="58"/>
      <c r="AN230" s="58"/>
      <c r="AO230" s="58"/>
      <c r="AP230" s="60"/>
    </row>
    <row r="231" spans="28:42" hidden="1" x14ac:dyDescent="0.4">
      <c r="AB231" s="58"/>
      <c r="AC231" s="58"/>
      <c r="AD231" s="58"/>
      <c r="AE231" s="58"/>
      <c r="AF231" s="59"/>
      <c r="AG231" s="59"/>
      <c r="AH231" s="59"/>
      <c r="AI231" s="58"/>
      <c r="AJ231" s="58"/>
      <c r="AK231" s="58"/>
      <c r="AL231" s="58"/>
      <c r="AM231" s="58"/>
      <c r="AN231" s="58"/>
      <c r="AO231" s="58"/>
      <c r="AP231" s="60"/>
    </row>
    <row r="232" spans="28:42" hidden="1" x14ac:dyDescent="0.4">
      <c r="AB232" s="58"/>
      <c r="AC232" s="58"/>
      <c r="AD232" s="58"/>
      <c r="AE232" s="58"/>
      <c r="AF232" s="59"/>
      <c r="AG232" s="59"/>
      <c r="AH232" s="59"/>
      <c r="AI232" s="58"/>
      <c r="AJ232" s="58"/>
      <c r="AK232" s="58"/>
      <c r="AL232" s="58"/>
      <c r="AM232" s="58"/>
      <c r="AN232" s="58"/>
      <c r="AO232" s="58"/>
      <c r="AP232" s="60"/>
    </row>
    <row r="233" spans="28:42" hidden="1" x14ac:dyDescent="0.4">
      <c r="AB233" s="58" t="s">
        <v>4</v>
      </c>
      <c r="AC233" s="58"/>
      <c r="AD233" s="58"/>
      <c r="AE233" s="58"/>
      <c r="AF233" s="59"/>
      <c r="AG233" s="59"/>
      <c r="AH233" s="59"/>
      <c r="AI233" s="58"/>
      <c r="AJ233" s="58"/>
      <c r="AK233" s="58"/>
      <c r="AL233" s="58"/>
      <c r="AM233" s="58"/>
      <c r="AN233" s="58"/>
      <c r="AO233" s="58"/>
      <c r="AP233" s="60"/>
    </row>
    <row r="234" spans="28:42" hidden="1" x14ac:dyDescent="0.4">
      <c r="AB234" s="58">
        <f>IF(COUNTBLANK(DECoMA!C84:E84)&gt;0, "",(((DECoMA!C84^2)+(DECoMA!D84^2)-(DECoMA!E84^2))/(2*DECoMA!C84*DECoMA!D84)))</f>
        <v>0.80004755111745118</v>
      </c>
      <c r="AC234" s="58"/>
      <c r="AD234" s="58"/>
      <c r="AE234" s="58"/>
      <c r="AF234" s="59"/>
      <c r="AG234" s="59"/>
      <c r="AH234" s="59"/>
      <c r="AI234" s="58"/>
      <c r="AJ234" s="58"/>
      <c r="AK234" s="58"/>
      <c r="AL234" s="58"/>
      <c r="AM234" s="58"/>
      <c r="AN234" s="58"/>
      <c r="AO234" s="58"/>
      <c r="AP234" s="60"/>
    </row>
    <row r="235" spans="28:42" hidden="1" x14ac:dyDescent="0.4">
      <c r="AB235" s="58"/>
      <c r="AC235" s="58"/>
      <c r="AD235" s="58"/>
      <c r="AE235" s="58"/>
      <c r="AF235" s="59"/>
      <c r="AG235" s="59"/>
      <c r="AH235" s="59"/>
      <c r="AI235" s="58"/>
      <c r="AJ235" s="58"/>
      <c r="AK235" s="58"/>
      <c r="AL235" s="58"/>
      <c r="AM235" s="58"/>
      <c r="AN235" s="58"/>
      <c r="AO235" s="58"/>
      <c r="AP235" s="60"/>
    </row>
    <row r="236" spans="28:42" hidden="1" x14ac:dyDescent="0.4">
      <c r="AB236" s="58"/>
      <c r="AC236" s="58"/>
      <c r="AD236" s="58"/>
      <c r="AE236" s="58"/>
      <c r="AF236" s="59"/>
      <c r="AG236" s="59"/>
      <c r="AH236" s="59"/>
      <c r="AI236" s="58"/>
      <c r="AJ236" s="58"/>
      <c r="AK236" s="58"/>
      <c r="AL236" s="58"/>
      <c r="AM236" s="58"/>
      <c r="AN236" s="58"/>
      <c r="AO236" s="58"/>
      <c r="AP236" s="60"/>
    </row>
    <row r="237" spans="28:42" hidden="1" x14ac:dyDescent="0.4">
      <c r="AB237" s="58" t="s">
        <v>3</v>
      </c>
      <c r="AC237" s="58" t="s">
        <v>125</v>
      </c>
      <c r="AE237" s="58"/>
      <c r="AF237" s="59"/>
      <c r="AG237" s="59"/>
      <c r="AH237" s="59"/>
      <c r="AI237" s="58"/>
      <c r="AJ237" s="58"/>
      <c r="AK237" s="58"/>
      <c r="AL237" s="58"/>
      <c r="AM237" s="58"/>
      <c r="AN237" s="58"/>
      <c r="AO237" s="58"/>
      <c r="AP237" s="60"/>
    </row>
    <row r="238" spans="28:42" hidden="1" x14ac:dyDescent="0.4">
      <c r="AB238" s="67">
        <f>IF(COUNTBLANK(DECoMA!I84)&lt;1, SQRT(ABS((DECoMA!C88^2)+(DECoMA!D88^2)-(2*DECoMA!I84*DECoMA!C88*DECoMA!D88))), IF(DECoMA!E88="Groups", SQRT(ABS((DECoMA!C88^2)+(DECoMA!D88^2)-(2*((AB230+AC230)/2)*DECoMA!C88*DECoMA!D88))),IF(DECoMA!E88="Single", IF(AB234="", "Error", SQRT(ABS((DECoMA!C88^2)+(DECoMA!D88^2)-(2*AB234*DECoMA!C88*DECoMA!D88)))),"")))</f>
        <v>2.6829696607799565</v>
      </c>
      <c r="AC238" s="58">
        <f>IF(DECoMA!E88="Groups", SQRT(ABS((DECoMA!C88^2)+(DECoMA!D88^2)-(2*((AB230+AC230)/2)*DECoMA!C88*DECoMA!D88))),IF(DECoMA!E88="Single", IF(AB234="", IF(DECoMA!I84="", "Error", SQRT(ABS((DECoMA!C88^2)+(DECoMA!D88^2)-(2*DECoMA!I84*DECoMA!C88*DECoMA!D88)))), SQRT(ABS((DECoMA!C88^2)+(DECoMA!D88^2)-(2*AB234*DECoMA!C88*DECoMA!D88)))),""))</f>
        <v>2.6829696607799565</v>
      </c>
      <c r="AD238" s="58"/>
      <c r="AE238" s="58" t="s">
        <v>32</v>
      </c>
      <c r="AF238" s="59"/>
      <c r="AG238" s="59"/>
      <c r="AH238" s="59"/>
      <c r="AI238" s="58"/>
      <c r="AJ238" s="58"/>
      <c r="AK238" s="58"/>
      <c r="AL238" s="58"/>
      <c r="AM238" s="58"/>
      <c r="AN238" s="58"/>
      <c r="AO238" s="58"/>
      <c r="AP238" s="60"/>
    </row>
    <row r="251" spans="32:39" hidden="1" x14ac:dyDescent="0.4">
      <c r="AF251" s="58"/>
      <c r="AG251" s="58"/>
      <c r="AH251" s="58"/>
      <c r="AI251" s="58"/>
      <c r="AJ251" s="58"/>
      <c r="AK251" s="58"/>
      <c r="AL251" s="58"/>
      <c r="AM251" s="60"/>
    </row>
    <row r="252" spans="32:39" hidden="1" x14ac:dyDescent="0.4">
      <c r="AF252" s="58"/>
      <c r="AG252" s="58"/>
      <c r="AH252" s="58"/>
      <c r="AI252" s="58"/>
      <c r="AJ252" s="58"/>
      <c r="AK252" s="58"/>
      <c r="AL252" s="58"/>
      <c r="AM252" s="60"/>
    </row>
    <row r="253" spans="32:39" hidden="1" x14ac:dyDescent="0.4">
      <c r="AF253" s="58"/>
      <c r="AG253" s="58"/>
      <c r="AH253" s="58"/>
      <c r="AI253" s="58"/>
      <c r="AJ253" s="58"/>
      <c r="AK253" s="58"/>
      <c r="AL253" s="58"/>
      <c r="AM253" s="60"/>
    </row>
    <row r="254" spans="32:39" hidden="1" x14ac:dyDescent="0.4">
      <c r="AF254" s="58"/>
      <c r="AG254" s="58"/>
      <c r="AH254" s="58"/>
      <c r="AI254" s="58"/>
      <c r="AJ254" s="58"/>
      <c r="AK254" s="58"/>
      <c r="AL254" s="58"/>
      <c r="AM254" s="60"/>
    </row>
    <row r="255" spans="32:39" hidden="1" x14ac:dyDescent="0.4">
      <c r="AF255" s="58"/>
      <c r="AG255" s="58"/>
      <c r="AH255" s="58"/>
      <c r="AI255" s="58"/>
      <c r="AJ255" s="58"/>
      <c r="AK255" s="58"/>
      <c r="AL255" s="58"/>
      <c r="AM255" s="60"/>
    </row>
    <row r="256" spans="32:39" hidden="1" x14ac:dyDescent="0.4">
      <c r="AF256" s="58"/>
      <c r="AG256" s="58"/>
      <c r="AH256" s="58"/>
      <c r="AI256" s="58"/>
      <c r="AJ256" s="58"/>
      <c r="AK256" s="58"/>
      <c r="AL256" s="58"/>
      <c r="AM256" s="60"/>
    </row>
    <row r="257" spans="32:39" hidden="1" x14ac:dyDescent="0.4">
      <c r="AF257" s="58"/>
      <c r="AG257" s="58"/>
      <c r="AH257" s="58"/>
      <c r="AI257" s="58"/>
      <c r="AJ257" s="58"/>
      <c r="AK257" s="58"/>
      <c r="AL257" s="58"/>
      <c r="AM257" s="60"/>
    </row>
    <row r="258" spans="32:39" hidden="1" x14ac:dyDescent="0.4">
      <c r="AF258" s="58"/>
      <c r="AG258" s="58"/>
      <c r="AH258" s="58"/>
      <c r="AI258" s="58"/>
      <c r="AJ258" s="58"/>
      <c r="AK258" s="58"/>
      <c r="AL258" s="58"/>
      <c r="AM258" s="60"/>
    </row>
    <row r="259" spans="32:39" hidden="1" x14ac:dyDescent="0.4">
      <c r="AF259" s="58"/>
      <c r="AG259" s="58"/>
      <c r="AH259" s="58"/>
      <c r="AI259" s="58"/>
      <c r="AJ259" s="61">
        <v>0.9</v>
      </c>
      <c r="AK259" s="61">
        <v>0.95</v>
      </c>
      <c r="AL259" s="61">
        <v>0.99</v>
      </c>
      <c r="AM259" s="60"/>
    </row>
    <row r="260" spans="32:39" hidden="1" x14ac:dyDescent="0.4">
      <c r="AF260" s="58"/>
      <c r="AG260" s="58"/>
      <c r="AH260" s="58"/>
      <c r="AI260" s="58"/>
      <c r="AJ260" s="58">
        <v>3.29</v>
      </c>
      <c r="AK260" s="58">
        <v>3.92</v>
      </c>
      <c r="AL260" s="58">
        <v>5.51</v>
      </c>
      <c r="AM260" s="60"/>
    </row>
    <row r="261" spans="32:39" hidden="1" x14ac:dyDescent="0.4">
      <c r="AF261" s="58"/>
      <c r="AG261" s="58"/>
      <c r="AH261" s="58"/>
      <c r="AI261" s="58"/>
      <c r="AJ261" s="58"/>
      <c r="AK261" s="58"/>
      <c r="AL261" s="58"/>
      <c r="AM261" s="60"/>
    </row>
    <row r="262" spans="32:39" hidden="1" x14ac:dyDescent="0.4">
      <c r="AF262" s="58"/>
      <c r="AG262" s="58"/>
      <c r="AH262" s="58"/>
      <c r="AI262" s="58"/>
      <c r="AJ262" s="58"/>
      <c r="AK262" s="58"/>
      <c r="AL262" s="58"/>
      <c r="AM262" s="60"/>
    </row>
  </sheetData>
  <sheetProtection algorithmName="SHA-512" hashValue="OVut88cEoawrdbAnfNkIHjKLKFyZRe/vKJLtJGmxIh0eBuhrXdfgueKj9doyDOBMez/TruN+/fR8UZI6c16YfQ==" saltValue="NQ1UiFK7yrnKc1b8jzeb3w==" spinCount="100000" sheet="1" objects="1" scenarios="1"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837E8-E072-497B-B3F4-77C82D08FCF2}">
  <sheetPr codeName="工作表4">
    <tabColor rgb="FF002060"/>
  </sheetPr>
  <dimension ref="A1:Y136"/>
  <sheetViews>
    <sheetView zoomScale="120" zoomScaleNormal="120" workbookViewId="0">
      <pane xSplit="9" ySplit="2" topLeftCell="J3" activePane="bottomRight" state="frozen"/>
      <selection activeCell="C3" sqref="C3"/>
      <selection pane="topRight" activeCell="C3" sqref="C3"/>
      <selection pane="bottomLeft" activeCell="C3" sqref="C3"/>
      <selection pane="bottomRight" activeCell="C3" sqref="C3"/>
    </sheetView>
  </sheetViews>
  <sheetFormatPr defaultColWidth="0" defaultRowHeight="16.149999999999999" customHeight="1" zeroHeight="1" x14ac:dyDescent="0.4"/>
  <cols>
    <col min="1" max="1" width="3.36328125" style="47" customWidth="1"/>
    <col min="2" max="7" width="17.7265625" style="4" customWidth="1"/>
    <col min="8" max="8" width="20.453125" style="4" customWidth="1"/>
    <col min="9" max="9" width="21.54296875" style="4" customWidth="1"/>
    <col min="10" max="10" width="1.1796875" style="4" hidden="1" customWidth="1"/>
    <col min="11" max="12" width="11.08984375" style="4" hidden="1" customWidth="1"/>
    <col min="13" max="15" width="11.08984375" style="3" hidden="1" customWidth="1"/>
    <col min="16" max="17" width="1.1796875" style="3" hidden="1" customWidth="1"/>
    <col min="18" max="23" width="6.6328125" style="3" hidden="1" customWidth="1"/>
    <col min="24" max="25" width="6.6328125" style="4" hidden="1" customWidth="1"/>
    <col min="26" max="16384" width="2.453125" style="4" hidden="1"/>
  </cols>
  <sheetData>
    <row r="1" spans="1:16" s="49" customFormat="1" ht="20.5" x14ac:dyDescent="0.4">
      <c r="A1" s="46"/>
      <c r="B1" s="51" t="s">
        <v>78</v>
      </c>
      <c r="C1" s="70" t="s">
        <v>100</v>
      </c>
      <c r="D1" s="71"/>
      <c r="E1" s="71"/>
      <c r="F1" s="71"/>
      <c r="G1" s="71"/>
      <c r="H1" s="71"/>
      <c r="I1" s="52"/>
      <c r="J1" s="47"/>
      <c r="K1" s="47"/>
      <c r="L1" s="47"/>
      <c r="P1" s="49" t="s">
        <v>22</v>
      </c>
    </row>
    <row r="2" spans="1:16" s="49" customFormat="1" ht="17" x14ac:dyDescent="0.4">
      <c r="A2" s="46"/>
      <c r="B2" s="46"/>
      <c r="C2" s="47"/>
      <c r="D2" s="47"/>
      <c r="E2" s="53"/>
      <c r="F2" s="53"/>
      <c r="G2" s="53"/>
      <c r="H2" s="47"/>
      <c r="I2" s="54"/>
      <c r="J2" s="47"/>
      <c r="K2" s="47"/>
      <c r="L2" s="47"/>
      <c r="P2" s="49" t="s">
        <v>23</v>
      </c>
    </row>
    <row r="3" spans="1:16" s="49" customFormat="1" ht="17" x14ac:dyDescent="0.4">
      <c r="A3" s="46"/>
      <c r="B3" s="55" t="s">
        <v>87</v>
      </c>
      <c r="C3" s="56"/>
      <c r="D3" s="56"/>
      <c r="E3" s="56"/>
      <c r="F3" s="56"/>
      <c r="G3" s="56"/>
      <c r="H3" s="47"/>
      <c r="I3" s="47"/>
      <c r="J3" s="47"/>
      <c r="K3" s="47"/>
      <c r="L3" s="47"/>
    </row>
    <row r="4" spans="1:16" ht="17" x14ac:dyDescent="0.4">
      <c r="A4" s="46"/>
      <c r="B4" s="10"/>
      <c r="C4" s="10"/>
      <c r="D4" s="10"/>
      <c r="E4" s="10"/>
      <c r="F4" s="10"/>
      <c r="G4" s="10"/>
      <c r="H4" s="13"/>
      <c r="I4" s="11"/>
    </row>
    <row r="5" spans="1:16" ht="17" x14ac:dyDescent="0.4">
      <c r="A5" s="46"/>
      <c r="B5" s="12" t="s">
        <v>105</v>
      </c>
      <c r="C5" s="10"/>
      <c r="D5" s="12" t="s">
        <v>101</v>
      </c>
      <c r="E5" s="10"/>
      <c r="F5" s="10"/>
      <c r="G5" s="10"/>
      <c r="H5" s="10"/>
      <c r="I5" s="11"/>
    </row>
    <row r="6" spans="1:16" ht="17" x14ac:dyDescent="0.4">
      <c r="A6" s="46"/>
      <c r="B6" s="12"/>
      <c r="C6" s="10"/>
      <c r="D6" s="12"/>
      <c r="E6" s="10"/>
      <c r="F6" s="10"/>
      <c r="G6" s="10"/>
      <c r="H6" s="10"/>
      <c r="I6" s="11"/>
    </row>
    <row r="7" spans="1:16" ht="17" x14ac:dyDescent="0.4">
      <c r="A7" s="46"/>
      <c r="B7" s="15" t="s">
        <v>106</v>
      </c>
      <c r="C7" s="17" t="s">
        <v>107</v>
      </c>
      <c r="D7" s="15" t="s">
        <v>102</v>
      </c>
      <c r="E7" s="17">
        <v>2</v>
      </c>
      <c r="F7" s="10"/>
      <c r="G7" s="10"/>
      <c r="H7" s="10"/>
      <c r="I7" s="11"/>
    </row>
    <row r="8" spans="1:16" ht="17" x14ac:dyDescent="0.4">
      <c r="A8" s="46"/>
      <c r="B8" s="12"/>
      <c r="C8" s="12"/>
      <c r="D8" s="12"/>
      <c r="E8" s="12"/>
      <c r="F8" s="10"/>
      <c r="G8" s="10"/>
      <c r="H8" s="10"/>
      <c r="I8" s="11"/>
    </row>
    <row r="9" spans="1:16" ht="17" x14ac:dyDescent="0.4">
      <c r="A9" s="46"/>
      <c r="B9" s="10"/>
      <c r="C9" s="10"/>
      <c r="D9" s="15" t="s">
        <v>103</v>
      </c>
      <c r="E9" s="17" t="s">
        <v>108</v>
      </c>
      <c r="F9" s="10"/>
      <c r="G9" s="10"/>
      <c r="H9" s="15"/>
      <c r="I9" s="11"/>
    </row>
    <row r="10" spans="1:16" ht="17" x14ac:dyDescent="0.4">
      <c r="A10" s="46"/>
      <c r="B10" s="10"/>
      <c r="C10" s="10"/>
      <c r="D10" s="10"/>
      <c r="E10" s="10"/>
      <c r="F10" s="10"/>
      <c r="G10" s="10"/>
      <c r="H10" s="15"/>
      <c r="I10" s="11"/>
    </row>
    <row r="11" spans="1:16" ht="17" x14ac:dyDescent="0.4">
      <c r="A11" s="46"/>
      <c r="B11" s="10"/>
      <c r="C11" s="10"/>
      <c r="D11" s="10"/>
      <c r="E11" s="10"/>
      <c r="F11" s="10"/>
      <c r="G11" s="10"/>
      <c r="H11" s="11"/>
      <c r="I11" s="20" t="str">
        <f>IF(I2="REF","Cochrane Handbook p. 175 &amp; 182", "")</f>
        <v/>
      </c>
    </row>
    <row r="12" spans="1:16" ht="17" x14ac:dyDescent="0.4">
      <c r="A12" s="46"/>
      <c r="B12" s="10"/>
      <c r="C12" s="10"/>
      <c r="D12" s="10"/>
      <c r="E12" s="10"/>
      <c r="F12" s="10"/>
      <c r="G12" s="10"/>
      <c r="H12" s="10"/>
      <c r="I12" s="10"/>
    </row>
    <row r="13" spans="1:16" ht="17" x14ac:dyDescent="0.4">
      <c r="A13" s="46"/>
      <c r="B13" s="10"/>
      <c r="C13" s="10"/>
      <c r="D13" s="10"/>
      <c r="E13" s="10"/>
      <c r="F13" s="10"/>
      <c r="G13" s="10"/>
      <c r="H13" s="10"/>
      <c r="I13" s="11"/>
    </row>
    <row r="14" spans="1:16" ht="17" x14ac:dyDescent="0.4">
      <c r="A14" s="46"/>
      <c r="B14" s="10"/>
      <c r="C14" s="10"/>
      <c r="D14" s="10"/>
      <c r="E14" s="10"/>
      <c r="F14" s="10"/>
      <c r="G14" s="10"/>
      <c r="H14" s="13"/>
      <c r="I14" s="11"/>
    </row>
    <row r="15" spans="1:16" ht="17" x14ac:dyDescent="0.4">
      <c r="A15" s="46"/>
      <c r="B15" s="10"/>
      <c r="C15" s="10"/>
      <c r="D15" s="10"/>
      <c r="E15" s="10"/>
      <c r="F15" s="10"/>
      <c r="G15" s="10"/>
      <c r="H15" s="13"/>
      <c r="I15" s="11"/>
    </row>
    <row r="16" spans="1:16" ht="17" x14ac:dyDescent="0.4">
      <c r="A16" s="46"/>
      <c r="B16" s="10"/>
      <c r="C16" s="10"/>
      <c r="D16" s="10"/>
      <c r="E16" s="10"/>
      <c r="F16" s="10"/>
      <c r="G16" s="10"/>
      <c r="H16" s="10"/>
      <c r="I16" s="11"/>
    </row>
    <row r="17" spans="1:25" ht="17" x14ac:dyDescent="0.4">
      <c r="A17" s="46"/>
      <c r="B17" s="10"/>
      <c r="C17" s="10"/>
      <c r="D17" s="10"/>
      <c r="E17" s="10"/>
      <c r="F17" s="10"/>
      <c r="G17" s="10"/>
      <c r="H17" s="10"/>
      <c r="I17" s="11"/>
    </row>
    <row r="18" spans="1:25" ht="17" x14ac:dyDescent="0.4">
      <c r="A18" s="46"/>
      <c r="B18" s="10"/>
      <c r="C18" s="10"/>
      <c r="D18" s="10"/>
      <c r="E18" s="10"/>
      <c r="F18" s="10"/>
      <c r="G18" s="10"/>
      <c r="H18" s="15"/>
      <c r="I18" s="11"/>
    </row>
    <row r="19" spans="1:25" ht="17" x14ac:dyDescent="0.4">
      <c r="A19" s="46"/>
      <c r="B19" s="10"/>
      <c r="C19" s="10"/>
      <c r="D19" s="10"/>
      <c r="E19" s="10"/>
      <c r="F19" s="10"/>
      <c r="G19" s="10"/>
      <c r="H19" s="15"/>
      <c r="I19" s="11"/>
    </row>
    <row r="20" spans="1:25" ht="17" x14ac:dyDescent="0.4">
      <c r="A20" s="46"/>
      <c r="B20" s="10"/>
      <c r="C20" s="10"/>
      <c r="D20" s="10"/>
      <c r="E20" s="10"/>
      <c r="F20" s="10"/>
      <c r="G20" s="10"/>
      <c r="H20" s="11"/>
      <c r="I20" s="20" t="str">
        <f>IF($I$2="REF","Cochrane Handbook p. 175", "")</f>
        <v/>
      </c>
    </row>
    <row r="21" spans="1:25" s="47" customFormat="1" ht="17" hidden="1" x14ac:dyDescent="0.4">
      <c r="K21" s="48"/>
      <c r="L21" s="48"/>
      <c r="M21" s="48"/>
      <c r="N21" s="48"/>
      <c r="O21" s="49"/>
      <c r="P21" s="49"/>
      <c r="Q21" s="49"/>
      <c r="R21" s="48"/>
      <c r="S21" s="48"/>
      <c r="T21" s="48"/>
      <c r="U21" s="48"/>
      <c r="V21" s="48"/>
      <c r="W21" s="48"/>
      <c r="X21" s="48"/>
      <c r="Y21" s="50"/>
    </row>
    <row r="22" spans="1:25" s="47" customFormat="1" ht="17" hidden="1" x14ac:dyDescent="0.4">
      <c r="K22" s="48"/>
      <c r="L22" s="48"/>
      <c r="M22" s="48"/>
      <c r="N22" s="48"/>
      <c r="O22" s="49"/>
      <c r="P22" s="49"/>
      <c r="Q22" s="49"/>
      <c r="R22" s="48"/>
      <c r="S22" s="48"/>
      <c r="T22" s="48"/>
      <c r="U22" s="48"/>
      <c r="V22" s="48"/>
      <c r="W22" s="48"/>
      <c r="X22" s="48"/>
      <c r="Y22" s="50"/>
    </row>
    <row r="23" spans="1:25" s="47" customFormat="1" ht="17" hidden="1" x14ac:dyDescent="0.4">
      <c r="K23" s="48"/>
      <c r="L23" s="48"/>
      <c r="M23" s="48"/>
      <c r="N23" s="48"/>
      <c r="O23" s="49"/>
      <c r="P23" s="49"/>
      <c r="Q23" s="49"/>
      <c r="R23" s="48"/>
      <c r="S23" s="48"/>
      <c r="T23" s="48"/>
      <c r="U23" s="48"/>
      <c r="V23" s="48"/>
      <c r="W23" s="48"/>
      <c r="X23" s="48"/>
      <c r="Y23" s="50"/>
    </row>
    <row r="24" spans="1:25" s="47" customFormat="1" ht="17" hidden="1" x14ac:dyDescent="0.4">
      <c r="K24" s="48"/>
      <c r="L24" s="48"/>
      <c r="M24" s="48"/>
      <c r="N24" s="48"/>
      <c r="O24" s="49"/>
      <c r="P24" s="49"/>
      <c r="Q24" s="49"/>
      <c r="R24" s="48"/>
      <c r="S24" s="48"/>
      <c r="T24" s="48"/>
      <c r="U24" s="48"/>
      <c r="V24" s="48"/>
      <c r="W24" s="48"/>
      <c r="X24" s="48"/>
      <c r="Y24" s="50"/>
    </row>
    <row r="25" spans="1:25" s="47" customFormat="1" ht="17" hidden="1" x14ac:dyDescent="0.4">
      <c r="K25" s="48"/>
      <c r="L25" s="48"/>
      <c r="M25" s="48"/>
      <c r="N25" s="48"/>
      <c r="O25" s="49"/>
      <c r="P25" s="49"/>
      <c r="Q25" s="49"/>
      <c r="R25" s="48"/>
      <c r="S25" s="48"/>
      <c r="T25" s="48"/>
      <c r="U25" s="48"/>
      <c r="V25" s="48"/>
      <c r="W25" s="48"/>
      <c r="X25" s="48"/>
      <c r="Y25" s="50"/>
    </row>
    <row r="26" spans="1:25" s="47" customFormat="1" ht="17" hidden="1" x14ac:dyDescent="0.4">
      <c r="K26" s="48"/>
      <c r="L26" s="48"/>
      <c r="M26" s="48"/>
      <c r="N26" s="48"/>
      <c r="O26" s="49"/>
      <c r="P26" s="49"/>
      <c r="Q26" s="49"/>
      <c r="R26" s="48"/>
      <c r="S26" s="48"/>
      <c r="T26" s="48"/>
      <c r="U26" s="48"/>
      <c r="V26" s="48"/>
      <c r="W26" s="48"/>
      <c r="X26" s="48"/>
      <c r="Y26" s="50"/>
    </row>
    <row r="27" spans="1:25" s="47" customFormat="1" ht="17" hidden="1" x14ac:dyDescent="0.4">
      <c r="K27" s="48"/>
      <c r="L27" s="48"/>
      <c r="M27" s="48"/>
      <c r="N27" s="48"/>
      <c r="O27" s="49"/>
      <c r="P27" s="49"/>
      <c r="Q27" s="49"/>
      <c r="R27" s="48"/>
      <c r="S27" s="48"/>
      <c r="T27" s="48"/>
      <c r="U27" s="48"/>
      <c r="V27" s="48"/>
      <c r="W27" s="48"/>
      <c r="X27" s="48"/>
      <c r="Y27" s="50"/>
    </row>
    <row r="28" spans="1:25" s="47" customFormat="1" ht="17" hidden="1" x14ac:dyDescent="0.4">
      <c r="K28" s="48"/>
      <c r="L28" s="48"/>
      <c r="M28" s="48"/>
      <c r="N28" s="48"/>
      <c r="O28" s="49"/>
      <c r="P28" s="49"/>
      <c r="Q28" s="49"/>
      <c r="R28" s="48"/>
      <c r="S28" s="48"/>
      <c r="T28" s="48"/>
      <c r="U28" s="48"/>
      <c r="V28" s="48"/>
      <c r="W28" s="48"/>
      <c r="X28" s="48"/>
      <c r="Y28" s="50"/>
    </row>
    <row r="29" spans="1:25" s="47" customFormat="1" ht="17" hidden="1" x14ac:dyDescent="0.4">
      <c r="K29" s="48"/>
      <c r="L29" s="48"/>
      <c r="M29" s="48"/>
      <c r="N29" s="48"/>
      <c r="O29" s="49"/>
      <c r="P29" s="49"/>
      <c r="Q29" s="49"/>
      <c r="R29" s="48"/>
      <c r="S29" s="48"/>
      <c r="T29" s="48"/>
      <c r="U29" s="48"/>
      <c r="V29" s="48"/>
      <c r="W29" s="48"/>
      <c r="X29" s="48"/>
      <c r="Y29" s="50"/>
    </row>
    <row r="30" spans="1:25" s="47" customFormat="1" ht="17" hidden="1" x14ac:dyDescent="0.4">
      <c r="K30" s="48" t="s">
        <v>0</v>
      </c>
      <c r="L30" s="48" t="s">
        <v>1</v>
      </c>
      <c r="M30" s="48"/>
      <c r="N30" s="48"/>
      <c r="O30" s="49"/>
      <c r="P30" s="49"/>
      <c r="Q30" s="49"/>
      <c r="R30" s="48"/>
      <c r="S30" s="48"/>
      <c r="T30" s="48"/>
      <c r="U30" s="48"/>
      <c r="V30" s="48"/>
      <c r="W30" s="48"/>
      <c r="X30" s="48"/>
      <c r="Y30" s="50"/>
    </row>
    <row r="31" spans="1:25" s="47" customFormat="1" ht="17" hidden="1" x14ac:dyDescent="0.4">
      <c r="K31" s="48" t="e">
        <f>('Back-End'!#REF!/ABS(NORMSINV('Back-End'!#REF!/2)))/SQRT((1/'Back-End'!#REF!)+(1/'Back-End'!#REF!))</f>
        <v>#REF!</v>
      </c>
      <c r="L31" s="48" t="e">
        <f>'Back-End'!#REF!/ABS(NORMSINV('Back-End'!#REF!/2))</f>
        <v>#REF!</v>
      </c>
      <c r="M31" s="48"/>
      <c r="N31" s="48" t="s">
        <v>27</v>
      </c>
      <c r="O31" s="49"/>
      <c r="P31" s="49"/>
      <c r="Q31" s="49"/>
      <c r="R31" s="48"/>
      <c r="S31" s="48"/>
      <c r="T31" s="48"/>
      <c r="U31" s="48"/>
      <c r="V31" s="48"/>
      <c r="W31" s="48"/>
      <c r="X31" s="48"/>
      <c r="Y31" s="50"/>
    </row>
    <row r="32" spans="1:25" s="47" customFormat="1" ht="17" hidden="1" x14ac:dyDescent="0.4">
      <c r="K32" s="48"/>
      <c r="L32" s="48"/>
      <c r="M32" s="48"/>
      <c r="N32" s="48"/>
      <c r="O32" s="49"/>
      <c r="P32" s="49"/>
      <c r="Q32" s="49"/>
      <c r="R32" s="49"/>
      <c r="S32" s="49"/>
      <c r="T32" s="49"/>
      <c r="U32" s="49"/>
      <c r="V32" s="49"/>
      <c r="W32" s="49"/>
    </row>
    <row r="33" spans="11:23" s="47" customFormat="1" ht="17" hidden="1" x14ac:dyDescent="0.4">
      <c r="K33" s="48"/>
      <c r="L33" s="48"/>
      <c r="M33" s="48"/>
      <c r="N33" s="48"/>
      <c r="O33" s="49"/>
      <c r="P33" s="49"/>
      <c r="Q33" s="49"/>
      <c r="R33" s="49"/>
      <c r="S33" s="49"/>
      <c r="T33" s="49"/>
      <c r="U33" s="49"/>
      <c r="V33" s="49"/>
      <c r="W33" s="49"/>
    </row>
    <row r="34" spans="11:23" s="47" customFormat="1" ht="17" hidden="1" x14ac:dyDescent="0.4">
      <c r="K34" s="48"/>
      <c r="L34" s="48"/>
      <c r="M34" s="48"/>
      <c r="N34" s="48"/>
      <c r="O34" s="49"/>
      <c r="P34" s="49"/>
      <c r="Q34" s="49"/>
      <c r="R34" s="49"/>
      <c r="S34" s="49"/>
      <c r="T34" s="49"/>
      <c r="U34" s="49"/>
      <c r="V34" s="49"/>
      <c r="W34" s="49"/>
    </row>
    <row r="35" spans="11:23" s="47" customFormat="1" ht="17" hidden="1" x14ac:dyDescent="0.4">
      <c r="K35" s="48"/>
      <c r="L35" s="48"/>
      <c r="M35" s="48"/>
      <c r="N35" s="48"/>
      <c r="O35" s="49"/>
      <c r="P35" s="49"/>
      <c r="Q35" s="49"/>
      <c r="R35" s="49"/>
      <c r="S35" s="49"/>
      <c r="T35" s="49"/>
      <c r="U35" s="49"/>
      <c r="V35" s="49"/>
      <c r="W35" s="49"/>
    </row>
    <row r="36" spans="11:23" s="47" customFormat="1" ht="17" hidden="1" x14ac:dyDescent="0.4">
      <c r="K36" s="48"/>
      <c r="L36" s="48"/>
      <c r="M36" s="48"/>
      <c r="N36" s="48"/>
      <c r="O36" s="49"/>
      <c r="P36" s="49"/>
      <c r="Q36" s="49"/>
      <c r="R36" s="49"/>
      <c r="S36" s="49"/>
      <c r="T36" s="49"/>
      <c r="U36" s="49"/>
      <c r="V36" s="49"/>
      <c r="W36" s="49"/>
    </row>
    <row r="37" spans="11:23" s="47" customFormat="1" ht="17" hidden="1" x14ac:dyDescent="0.4">
      <c r="K37" s="48"/>
      <c r="L37" s="48"/>
      <c r="M37" s="48"/>
      <c r="N37" s="48"/>
      <c r="O37" s="49"/>
      <c r="P37" s="49"/>
      <c r="Q37" s="49"/>
      <c r="R37" s="49"/>
      <c r="S37" s="49"/>
      <c r="T37" s="49"/>
      <c r="U37" s="49"/>
      <c r="V37" s="49"/>
      <c r="W37" s="49"/>
    </row>
    <row r="38" spans="11:23" s="47" customFormat="1" ht="17" hidden="1" x14ac:dyDescent="0.4">
      <c r="K38" s="48"/>
      <c r="L38" s="48"/>
      <c r="M38" s="48"/>
      <c r="N38" s="48"/>
      <c r="O38" s="49"/>
      <c r="P38" s="49"/>
      <c r="Q38" s="49"/>
      <c r="R38" s="49"/>
      <c r="S38" s="49"/>
      <c r="T38" s="49"/>
      <c r="U38" s="49"/>
      <c r="V38" s="49"/>
      <c r="W38" s="49"/>
    </row>
    <row r="39" spans="11:23" s="47" customFormat="1" ht="17" hidden="1" x14ac:dyDescent="0.4">
      <c r="K39" s="48"/>
      <c r="L39" s="48"/>
      <c r="M39" s="48"/>
      <c r="N39" s="48"/>
      <c r="O39" s="49"/>
      <c r="P39" s="49"/>
      <c r="Q39" s="49"/>
      <c r="R39" s="49"/>
      <c r="S39" s="49"/>
      <c r="T39" s="49"/>
      <c r="U39" s="49"/>
      <c r="V39" s="49"/>
      <c r="W39" s="49"/>
    </row>
    <row r="40" spans="11:23" s="47" customFormat="1" ht="17" hidden="1" x14ac:dyDescent="0.4">
      <c r="K40" s="48" t="s">
        <v>0</v>
      </c>
      <c r="L40" s="48" t="s">
        <v>1</v>
      </c>
      <c r="M40" s="48"/>
      <c r="N40" s="48"/>
      <c r="O40" s="49"/>
      <c r="P40" s="49"/>
      <c r="Q40" s="49"/>
      <c r="R40" s="49"/>
      <c r="S40" s="49"/>
      <c r="T40" s="49"/>
      <c r="U40" s="49"/>
      <c r="V40" s="49"/>
      <c r="W40" s="49"/>
    </row>
    <row r="41" spans="11:23" s="47" customFormat="1" ht="17" hidden="1" x14ac:dyDescent="0.4">
      <c r="K41" s="48">
        <f>IFERROR(IF('Back-End'!#REF!=1,L41*SQRT('Back-End'!#REF!),L41/SQRT(((1/'Back-End'!#REF!)+(1/'Back-End'!#REF!)))), -1)</f>
        <v>-1</v>
      </c>
      <c r="L41" s="48" t="e">
        <f>IF('Back-End'!#REF!="","",IF('Back-End'!#REF!&lt;60,IF('Back-End'!#REF!=1,(('Back-End'!#REF!-'Back-End'!#REF!)/(TINV(1-'Back-End'!#REF!,'Back-End'!#REF!-'Back-End'!#REF!)*2)),(('Back-End'!#REF!-'Back-End'!#REF!)/(TINV(1-'Back-End'!#REF!,'Back-End'!#REF!-'Back-End'!#REF!)*2))),IF('Back-End'!#REF!=1,IF('Back-End'!#REF!&lt;100,(('Back-End'!#REF!-'Back-End'!#REF!)/(TINV(1-'Back-End'!#REF!,'Back-End'!#REF!-'Back-End'!#REF!)*2)),IF('Back-End'!#REF!=0.9,(('Back-End'!#REF!-'Back-End'!#REF!)/Note!AJ260),IF('Back-End'!#REF!=0.95,(('Back-End'!#REF!-'Back-End'!#REF!)/Note!AK260),(('Back-End'!#REF!-'Back-End'!#REF!)/Note!AL260)))),IF('Back-End'!#REF!=2,IF('Back-End'!#REF!&lt;60,(('Back-End'!#REF!-'Back-End'!#REF!)/(TINV(1-'Back-End'!#REF!,'Back-End'!#REF!-'Back-End'!#REF!)*2)),IF('Back-End'!#REF!=0.9,(('Back-End'!#REF!-'Back-End'!#REF!)/Note!AJ260),IF('Back-End'!#REF!=0.95,(('Back-End'!#REF!-'Back-End'!#REF!)/Note!AK260),(('Back-End'!#REF!-'Back-End'!#REF!)/Note!AL260)))),""))))</f>
        <v>#REF!</v>
      </c>
      <c r="M41" s="48"/>
      <c r="N41" s="48" t="s">
        <v>24</v>
      </c>
      <c r="O41" s="49"/>
      <c r="P41" s="49"/>
      <c r="Q41" s="49"/>
      <c r="R41" s="49"/>
      <c r="S41" s="49"/>
      <c r="T41" s="49"/>
      <c r="U41" s="49"/>
      <c r="V41" s="49"/>
      <c r="W41" s="49"/>
    </row>
    <row r="42" spans="11:23" s="47" customFormat="1" ht="17" hidden="1" x14ac:dyDescent="0.4">
      <c r="K42" s="48" t="e">
        <f>IF('Back-End'!#REF!="","",IF('Back-End'!#REF!=1,IF('Back-End'!#REF!&gt;100, IF('Back-End'!#REF!=0.9,(('Back-End'!#REF!-'Back-End'!#REF!)/Note!AJ260), IF('Back-End'!#REF!=0.95,(('Back-End'!#REF!-'Back-End'!#REF!)/Note!AK260), (('Back-End'!#REF!-'Back-End'!#REF!)/Note!AL260)))*(SQRT('Back-End'!#REF!)), IF('Back-End'!#REF!="","",(('Back-End'!#REF!-'Back-End'!#REF!)/(TINV(1-'Back-End'!#REF!,'Back-End'!#REF!-'Back-End'!#REF!)*2))*(SQRT('Back-End'!#REF!)))),IF('Back-End'!#REF!/2&gt;60, IF('Back-End'!#REF!=0.9,(('Back-End'!#REF!-'Back-End'!#REF!)/Note!AJ260), IF('Back-End'!#REF!=0.95,(('Back-End'!#REF!-'Back-End'!#REF!)/Note!AK260), (('Back-End'!#REF!-'Back-End'!#REF!)/Note!AL260)))*(SQRT('Back-End'!#REF!)), IF('Back-End'!#REF!="","",(('Back-End'!#REF!-'Back-End'!#REF!)/(TINV(1-'Back-End'!#REF!,'Back-End'!#REF!-'Back-End'!#REF!)*2))*(SQRT('Back-End'!#REF!))))))</f>
        <v>#REF!</v>
      </c>
      <c r="L42" s="48" t="e">
        <f>IF('Back-End'!#REF!="","",IF('Back-End'!#REF!=1,IF('Back-End'!#REF!&gt;100, IF('Back-End'!#REF!=0.9,(('Back-End'!#REF!-'Back-End'!#REF!)/Note!AJ260), IF('Back-End'!#REF!=0.95,(('Back-End'!#REF!-'Back-End'!#REF!)/Note!AK260), (('Back-End'!#REF!-'Back-End'!#REF!)/Note!AL260))), IF('Back-End'!#REF!="","",(('Back-End'!#REF!-'Back-End'!#REF!)/(TINV(1-'Back-End'!#REF!,'Back-End'!#REF!-'Back-End'!#REF!)*2)))), IF('Back-End'!#REF!/2&gt;100, IF('Back-End'!#REF!=0.9,(('Back-End'!#REF!-'Back-End'!#REF!)/Note!AJ260), IF('Back-End'!#REF!=0.95,(('Back-End'!#REF!-'Back-End'!#REF!)/Note!AK260), (('Back-End'!#REF!-'Back-End'!#REF!)/Note!AL260))), IF('Back-End'!#REF!="","",(('Back-End'!#REF!-'Back-End'!#REF!)/(TINV(1-'Back-End'!#REF!,'Back-End'!#REF!-'Back-End'!#REF!)*2))))))</f>
        <v>#REF!</v>
      </c>
      <c r="M42" s="48"/>
      <c r="N42" s="48"/>
      <c r="O42" s="49"/>
      <c r="P42" s="49"/>
      <c r="Q42" s="49"/>
      <c r="R42" s="49"/>
      <c r="S42" s="49"/>
      <c r="T42" s="49"/>
      <c r="U42" s="49"/>
      <c r="V42" s="49"/>
      <c r="W42" s="49"/>
    </row>
    <row r="43" spans="11:23" s="47" customFormat="1" ht="17" hidden="1" x14ac:dyDescent="0.4">
      <c r="K43" s="48"/>
      <c r="L43" s="48"/>
      <c r="M43" s="48"/>
      <c r="N43" s="48"/>
      <c r="O43" s="49"/>
      <c r="P43" s="49"/>
      <c r="Q43" s="49"/>
      <c r="R43" s="49"/>
      <c r="S43" s="49"/>
      <c r="T43" s="49"/>
      <c r="U43" s="49"/>
      <c r="V43" s="49"/>
      <c r="W43" s="49"/>
    </row>
    <row r="44" spans="11:23" s="47" customFormat="1" ht="16.149999999999999" customHeight="1" x14ac:dyDescent="0.4"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</row>
    <row r="45" spans="11:23" s="47" customFormat="1" ht="16.149999999999999" customHeight="1" x14ac:dyDescent="0.4"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</row>
    <row r="46" spans="11:23" s="47" customFormat="1" ht="16.149999999999999" customHeight="1" x14ac:dyDescent="0.4"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</row>
    <row r="47" spans="11:23" s="47" customFormat="1" ht="16.149999999999999" customHeight="1" x14ac:dyDescent="0.4"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</row>
    <row r="48" spans="11:23" s="47" customFormat="1" ht="16.149999999999999" customHeight="1" x14ac:dyDescent="0.4"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</row>
    <row r="49" spans="13:23" s="47" customFormat="1" ht="16.149999999999999" customHeight="1" x14ac:dyDescent="0.4"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</row>
    <row r="50" spans="13:23" s="47" customFormat="1" ht="16.149999999999999" hidden="1" customHeight="1" x14ac:dyDescent="0.4"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</row>
    <row r="51" spans="13:23" s="47" customFormat="1" ht="16.149999999999999" hidden="1" customHeight="1" x14ac:dyDescent="0.4"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</row>
    <row r="52" spans="13:23" s="47" customFormat="1" ht="16.149999999999999" hidden="1" customHeight="1" x14ac:dyDescent="0.4"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</row>
    <row r="53" spans="13:23" s="47" customFormat="1" ht="16.149999999999999" hidden="1" customHeight="1" x14ac:dyDescent="0.4"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</row>
    <row r="54" spans="13:23" s="47" customFormat="1" ht="16.149999999999999" hidden="1" customHeight="1" x14ac:dyDescent="0.4"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</row>
    <row r="55" spans="13:23" s="47" customFormat="1" ht="16.149999999999999" hidden="1" customHeight="1" x14ac:dyDescent="0.4"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</row>
    <row r="56" spans="13:23" s="47" customFormat="1" ht="16.149999999999999" hidden="1" customHeight="1" x14ac:dyDescent="0.4"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</row>
    <row r="57" spans="13:23" s="47" customFormat="1" ht="16.149999999999999" hidden="1" customHeight="1" x14ac:dyDescent="0.4"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</row>
    <row r="58" spans="13:23" s="47" customFormat="1" ht="16.149999999999999" hidden="1" customHeight="1" x14ac:dyDescent="0.4"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</row>
    <row r="59" spans="13:23" s="47" customFormat="1" ht="16.149999999999999" hidden="1" customHeight="1" x14ac:dyDescent="0.4"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</row>
    <row r="60" spans="13:23" s="47" customFormat="1" ht="16.149999999999999" hidden="1" customHeight="1" x14ac:dyDescent="0.4"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</row>
    <row r="61" spans="13:23" s="47" customFormat="1" ht="16.149999999999999" hidden="1" customHeight="1" x14ac:dyDescent="0.4"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</row>
    <row r="62" spans="13:23" s="47" customFormat="1" ht="16.149999999999999" hidden="1" customHeight="1" x14ac:dyDescent="0.4"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</row>
    <row r="63" spans="13:23" s="47" customFormat="1" ht="16.149999999999999" hidden="1" customHeight="1" x14ac:dyDescent="0.4"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</row>
    <row r="64" spans="13:23" s="47" customFormat="1" ht="16.149999999999999" hidden="1" customHeight="1" x14ac:dyDescent="0.4"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</row>
    <row r="65" spans="13:23" s="47" customFormat="1" ht="16.149999999999999" hidden="1" customHeight="1" x14ac:dyDescent="0.4"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</row>
    <row r="66" spans="13:23" s="47" customFormat="1" ht="16.149999999999999" hidden="1" customHeight="1" x14ac:dyDescent="0.4"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</row>
    <row r="67" spans="13:23" s="47" customFormat="1" ht="16.149999999999999" hidden="1" customHeight="1" x14ac:dyDescent="0.4"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</row>
    <row r="68" spans="13:23" s="47" customFormat="1" ht="16.149999999999999" hidden="1" customHeight="1" x14ac:dyDescent="0.4"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</row>
    <row r="69" spans="13:23" s="47" customFormat="1" ht="16.149999999999999" hidden="1" customHeight="1" x14ac:dyDescent="0.4"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</row>
    <row r="70" spans="13:23" s="47" customFormat="1" ht="16.149999999999999" hidden="1" customHeight="1" x14ac:dyDescent="0.4"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</row>
    <row r="71" spans="13:23" s="47" customFormat="1" ht="16.149999999999999" hidden="1" customHeight="1" x14ac:dyDescent="0.4"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</row>
    <row r="72" spans="13:23" s="47" customFormat="1" ht="16.149999999999999" hidden="1" customHeight="1" x14ac:dyDescent="0.4"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</row>
    <row r="73" spans="13:23" s="47" customFormat="1" ht="16.149999999999999" hidden="1" customHeight="1" x14ac:dyDescent="0.4"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</row>
    <row r="74" spans="13:23" s="47" customFormat="1" ht="16.149999999999999" hidden="1" customHeight="1" x14ac:dyDescent="0.4"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</row>
    <row r="75" spans="13:23" s="47" customFormat="1" ht="16.149999999999999" hidden="1" customHeight="1" x14ac:dyDescent="0.4"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</row>
    <row r="76" spans="13:23" s="47" customFormat="1" ht="16.149999999999999" hidden="1" customHeight="1" x14ac:dyDescent="0.4"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</row>
    <row r="77" spans="13:23" s="47" customFormat="1" ht="16.149999999999999" hidden="1" customHeight="1" x14ac:dyDescent="0.4"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</row>
    <row r="78" spans="13:23" s="47" customFormat="1" ht="16.149999999999999" hidden="1" customHeight="1" x14ac:dyDescent="0.4"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</row>
    <row r="79" spans="13:23" s="47" customFormat="1" ht="16.149999999999999" hidden="1" customHeight="1" x14ac:dyDescent="0.4"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</row>
    <row r="80" spans="13:23" s="47" customFormat="1" ht="16.149999999999999" hidden="1" customHeight="1" x14ac:dyDescent="0.4"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</row>
    <row r="81" spans="13:23" s="47" customFormat="1" ht="16.149999999999999" hidden="1" customHeight="1" x14ac:dyDescent="0.4"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</row>
    <row r="82" spans="13:23" s="47" customFormat="1" ht="16.149999999999999" hidden="1" customHeight="1" x14ac:dyDescent="0.4"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</row>
    <row r="83" spans="13:23" s="47" customFormat="1" ht="16.149999999999999" hidden="1" customHeight="1" x14ac:dyDescent="0.4"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</row>
    <row r="84" spans="13:23" s="47" customFormat="1" ht="16.149999999999999" hidden="1" customHeight="1" x14ac:dyDescent="0.4"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</row>
    <row r="85" spans="13:23" s="47" customFormat="1" ht="16.149999999999999" hidden="1" customHeight="1" x14ac:dyDescent="0.4"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</row>
    <row r="86" spans="13:23" s="47" customFormat="1" ht="16.149999999999999" hidden="1" customHeight="1" x14ac:dyDescent="0.4"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</row>
    <row r="87" spans="13:23" s="47" customFormat="1" ht="16.149999999999999" hidden="1" customHeight="1" x14ac:dyDescent="0.4"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</row>
    <row r="88" spans="13:23" s="47" customFormat="1" ht="16.149999999999999" hidden="1" customHeight="1" x14ac:dyDescent="0.4"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</row>
    <row r="89" spans="13:23" s="47" customFormat="1" ht="16.149999999999999" hidden="1" customHeight="1" x14ac:dyDescent="0.4"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</row>
    <row r="90" spans="13:23" s="47" customFormat="1" ht="16.149999999999999" hidden="1" customHeight="1" x14ac:dyDescent="0.4"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</row>
    <row r="91" spans="13:23" s="47" customFormat="1" ht="16.149999999999999" hidden="1" customHeight="1" x14ac:dyDescent="0.4"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</row>
    <row r="92" spans="13:23" s="47" customFormat="1" ht="16.149999999999999" hidden="1" customHeight="1" x14ac:dyDescent="0.4"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</row>
    <row r="93" spans="13:23" s="47" customFormat="1" ht="16.149999999999999" hidden="1" customHeight="1" x14ac:dyDescent="0.4"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</row>
    <row r="94" spans="13:23" s="47" customFormat="1" ht="16.149999999999999" hidden="1" customHeight="1" x14ac:dyDescent="0.4"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</row>
    <row r="95" spans="13:23" s="47" customFormat="1" ht="16.149999999999999" hidden="1" customHeight="1" x14ac:dyDescent="0.4"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</row>
    <row r="96" spans="13:23" s="47" customFormat="1" ht="16.149999999999999" hidden="1" customHeight="1" x14ac:dyDescent="0.4"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</row>
    <row r="97" spans="13:23" s="47" customFormat="1" ht="16.149999999999999" hidden="1" customHeight="1" x14ac:dyDescent="0.4"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</row>
    <row r="98" spans="13:23" s="47" customFormat="1" ht="16.149999999999999" hidden="1" customHeight="1" x14ac:dyDescent="0.4"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</row>
    <row r="99" spans="13:23" s="47" customFormat="1" ht="16.149999999999999" hidden="1" customHeight="1" x14ac:dyDescent="0.4"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</row>
    <row r="100" spans="13:23" s="47" customFormat="1" ht="16.149999999999999" hidden="1" customHeight="1" x14ac:dyDescent="0.4"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</row>
    <row r="101" spans="13:23" s="47" customFormat="1" ht="16.149999999999999" hidden="1" customHeight="1" x14ac:dyDescent="0.4"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</row>
    <row r="102" spans="13:23" s="47" customFormat="1" ht="16.149999999999999" hidden="1" customHeight="1" x14ac:dyDescent="0.4"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</row>
    <row r="103" spans="13:23" s="47" customFormat="1" ht="16.149999999999999" hidden="1" customHeight="1" x14ac:dyDescent="0.4"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</row>
    <row r="104" spans="13:23" s="47" customFormat="1" ht="16.149999999999999" hidden="1" customHeight="1" x14ac:dyDescent="0.4"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</row>
    <row r="105" spans="13:23" s="47" customFormat="1" ht="16.149999999999999" hidden="1" customHeight="1" x14ac:dyDescent="0.4"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</row>
    <row r="106" spans="13:23" s="47" customFormat="1" ht="16.149999999999999" hidden="1" customHeight="1" x14ac:dyDescent="0.4"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</row>
    <row r="107" spans="13:23" s="47" customFormat="1" ht="16.149999999999999" hidden="1" customHeight="1" x14ac:dyDescent="0.4"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</row>
    <row r="108" spans="13:23" s="47" customFormat="1" ht="16.149999999999999" hidden="1" customHeight="1" x14ac:dyDescent="0.4"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</row>
    <row r="109" spans="13:23" s="47" customFormat="1" ht="16.149999999999999" hidden="1" customHeight="1" x14ac:dyDescent="0.4"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</row>
    <row r="110" spans="13:23" s="47" customFormat="1" ht="16.149999999999999" hidden="1" customHeight="1" x14ac:dyDescent="0.4"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</row>
    <row r="111" spans="13:23" s="47" customFormat="1" ht="16.149999999999999" hidden="1" customHeight="1" x14ac:dyDescent="0.4"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</row>
    <row r="112" spans="13:23" s="47" customFormat="1" ht="16.149999999999999" hidden="1" customHeight="1" x14ac:dyDescent="0.4"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</row>
    <row r="113" spans="13:23" s="47" customFormat="1" ht="16.149999999999999" hidden="1" customHeight="1" x14ac:dyDescent="0.4"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</row>
    <row r="114" spans="13:23" s="47" customFormat="1" ht="16.149999999999999" hidden="1" customHeight="1" x14ac:dyDescent="0.4"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</row>
    <row r="115" spans="13:23" s="47" customFormat="1" ht="16.149999999999999" hidden="1" customHeight="1" x14ac:dyDescent="0.4"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</row>
    <row r="116" spans="13:23" s="47" customFormat="1" ht="16.149999999999999" hidden="1" customHeight="1" x14ac:dyDescent="0.4"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</row>
    <row r="117" spans="13:23" s="47" customFormat="1" ht="16.149999999999999" hidden="1" customHeight="1" x14ac:dyDescent="0.4"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</row>
    <row r="118" spans="13:23" s="47" customFormat="1" ht="16.149999999999999" hidden="1" customHeight="1" x14ac:dyDescent="0.4"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</row>
    <row r="119" spans="13:23" s="47" customFormat="1" ht="16.149999999999999" hidden="1" customHeight="1" x14ac:dyDescent="0.4"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</row>
    <row r="120" spans="13:23" s="47" customFormat="1" ht="16.149999999999999" hidden="1" customHeight="1" x14ac:dyDescent="0.4"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</row>
    <row r="121" spans="13:23" s="47" customFormat="1" ht="16.149999999999999" hidden="1" customHeight="1" x14ac:dyDescent="0.4"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</row>
    <row r="122" spans="13:23" s="47" customFormat="1" ht="16.149999999999999" hidden="1" customHeight="1" x14ac:dyDescent="0.4"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</row>
    <row r="123" spans="13:23" s="47" customFormat="1" ht="16.149999999999999" hidden="1" customHeight="1" x14ac:dyDescent="0.4"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</row>
    <row r="124" spans="13:23" s="47" customFormat="1" ht="16.149999999999999" hidden="1" customHeight="1" x14ac:dyDescent="0.4"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</row>
    <row r="125" spans="13:23" s="47" customFormat="1" ht="16.149999999999999" hidden="1" customHeight="1" x14ac:dyDescent="0.4"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</row>
    <row r="126" spans="13:23" s="47" customFormat="1" ht="16.149999999999999" hidden="1" customHeight="1" x14ac:dyDescent="0.4"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</row>
    <row r="127" spans="13:23" s="47" customFormat="1" ht="16.149999999999999" hidden="1" customHeight="1" x14ac:dyDescent="0.4"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</row>
    <row r="128" spans="13:23" s="47" customFormat="1" ht="16.149999999999999" hidden="1" customHeight="1" x14ac:dyDescent="0.4"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</row>
    <row r="129" spans="13:23" s="47" customFormat="1" ht="16.149999999999999" hidden="1" customHeight="1" x14ac:dyDescent="0.4"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</row>
    <row r="130" spans="13:23" s="47" customFormat="1" ht="16.149999999999999" hidden="1" customHeight="1" x14ac:dyDescent="0.4"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</row>
    <row r="131" spans="13:23" s="47" customFormat="1" ht="16.149999999999999" hidden="1" customHeight="1" x14ac:dyDescent="0.4"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</row>
    <row r="132" spans="13:23" s="47" customFormat="1" ht="16.149999999999999" hidden="1" customHeight="1" x14ac:dyDescent="0.4"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</row>
    <row r="133" spans="13:23" s="47" customFormat="1" ht="16.149999999999999" hidden="1" customHeight="1" x14ac:dyDescent="0.4"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</row>
    <row r="134" spans="13:23" s="47" customFormat="1" ht="16.149999999999999" hidden="1" customHeight="1" x14ac:dyDescent="0.4"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</row>
    <row r="135" spans="13:23" s="47" customFormat="1" ht="16.149999999999999" hidden="1" customHeight="1" x14ac:dyDescent="0.4"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</row>
    <row r="136" spans="13:23" s="47" customFormat="1" ht="16.149999999999999" hidden="1" customHeight="1" x14ac:dyDescent="0.4"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</row>
  </sheetData>
  <sheetProtection algorithmName="SHA-512" hashValue="sQBhyWMztEYXbvYLDJ0JwkzNRqyHaxoRHLOvHM64QlNa6pqEiqQ8DFc5IdIOV1KNLefJi6HBYuw1xV1APaAJFA==" saltValue="6DE8h17ip1Nk6u9qLVx3ug==" spinCount="100000" sheet="1" objects="1" scenarios="1"/>
  <protectedRanges>
    <protectedRange algorithmName="SHA-512" hashValue="aNc6kQe2iQxoZvwS7qbkI/d2dLeyLFaCw98btqsSSmWRaUqdcXqXqMAo+q92e3yYaMn5gRwvj8k2b5YVWrdqbA==" saltValue="zeI+Snxk22O5Eb1aqNefdA==" spinCount="100000" sqref="E9 E7 C7" name="SD for CI 1"/>
  </protectedRanges>
  <mergeCells count="1">
    <mergeCell ref="C1:H1"/>
  </mergeCells>
  <phoneticPr fontId="1" type="noConversion"/>
  <dataValidations count="2">
    <dataValidation type="whole" operator="greaterThanOrEqual" allowBlank="1" showInputMessage="1" showErrorMessage="1" sqref="E7" xr:uid="{B9D7D350-D549-48B6-8EEA-C460B3CF4374}">
      <formula1>0</formula1>
    </dataValidation>
    <dataValidation type="list" operator="greaterThanOrEqual" allowBlank="1" showInputMessage="1" showErrorMessage="1" sqref="E9 C7" xr:uid="{AC7EA79E-12C2-4BEF-B572-F2CE540F54DC}">
      <formula1>"Yes, 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Intro</vt:lpstr>
      <vt:lpstr>DECoMA</vt:lpstr>
      <vt:lpstr>Note</vt:lpstr>
      <vt:lpstr>Back-End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Kang</dc:creator>
  <cp:lastModifiedBy>YNKang</cp:lastModifiedBy>
  <dcterms:created xsi:type="dcterms:W3CDTF">2019-01-16T01:51:34Z</dcterms:created>
  <dcterms:modified xsi:type="dcterms:W3CDTF">2023-03-03T23:29:43Z</dcterms:modified>
</cp:coreProperties>
</file>